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er\Desktop\ApexPlanet_Task1\"/>
    </mc:Choice>
  </mc:AlternateContent>
  <xr:revisionPtr revIDLastSave="0" documentId="8_{18DEDC53-BF1C-44BD-AAEF-4A3B7A54A6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_Dataset" sheetId="1" r:id="rId1"/>
  </sheets>
  <definedNames>
    <definedName name="_xlnm._FilterDatabase" localSheetId="0" hidden="1">Sales_Dataset!$A$1:$M$1001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" i="1" l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2" i="1"/>
</calcChain>
</file>

<file path=xl/sharedStrings.xml><?xml version="1.0" encoding="utf-8"?>
<sst xmlns="http://schemas.openxmlformats.org/spreadsheetml/2006/main" count="8002" uniqueCount="2742">
  <si>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</si>
  <si>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</si>
  <si>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</si>
  <si>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</si>
  <si>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</si>
  <si>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</si>
  <si>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</si>
  <si>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</si>
  <si>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</si>
  <si>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</si>
  <si>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</si>
  <si>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</si>
  <si>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</si>
  <si>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</si>
  <si>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</si>
  <si>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</si>
  <si>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</si>
  <si>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</si>
  <si>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</si>
  <si>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</si>
  <si>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</si>
  <si>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</si>
  <si>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</si>
  <si>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</si>
  <si>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</si>
  <si>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</si>
  <si>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</si>
  <si>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</si>
  <si>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</si>
  <si>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</si>
  <si>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</si>
  <si>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</si>
  <si>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</si>
  <si>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</si>
  <si>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</si>
  <si>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</si>
  <si>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</si>
  <si>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</si>
  <si>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</si>
  <si>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</si>
  <si>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</si>
  <si>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</si>
  <si>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</si>
  <si>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</si>
  <si>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</si>
  <si>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</si>
  <si>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</si>
  <si>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</si>
  <si>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</si>
  <si>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</si>
  <si>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</si>
  <si>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</si>
  <si>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</si>
  <si>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</si>
  <si>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</si>
  <si>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</si>
  <si>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</si>
  <si>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</si>
  <si>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</si>
  <si>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</si>
  <si>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</si>
  <si>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</si>
  <si>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</si>
  <si>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</si>
  <si>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</si>
  <si>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</si>
  <si>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</si>
  <si>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</si>
  <si>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</si>
  <si>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</si>
  <si>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</si>
  <si>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</si>
  <si>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</si>
  <si>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</si>
  <si>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</si>
  <si>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</si>
  <si>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</si>
  <si>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</si>
  <si>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</si>
  <si>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</si>
  <si>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</si>
  <si>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</si>
  <si>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</si>
  <si>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</si>
  <si>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</si>
  <si>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</si>
  <si>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</si>
  <si>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</si>
  <si>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</si>
  <si>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</si>
  <si>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</si>
  <si>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</si>
  <si>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</si>
  <si>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</si>
  <si>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</si>
  <si>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</si>
  <si>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</si>
  <si>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</si>
  <si>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</si>
  <si>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</si>
  <si>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</si>
  <si>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</si>
  <si>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</si>
  <si>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</si>
  <si>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</si>
  <si>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</si>
  <si>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</si>
  <si>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</si>
  <si>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</si>
  <si>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</si>
  <si>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</si>
  <si>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</si>
  <si>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</si>
  <si>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</si>
  <si>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</si>
  <si>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</si>
  <si>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</si>
  <si>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</si>
  <si>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</si>
  <si>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</si>
  <si>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</si>
  <si>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</si>
  <si>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</si>
  <si>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</si>
  <si>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</si>
  <si>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</si>
  <si>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</si>
  <si>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</si>
  <si>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</si>
  <si>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</si>
  <si>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</si>
  <si>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</si>
  <si>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</si>
  <si>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</si>
  <si>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</si>
  <si>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</si>
  <si>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</si>
  <si>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</si>
  <si>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</si>
  <si>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</si>
  <si>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</si>
  <si>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</si>
  <si>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</si>
  <si>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</si>
  <si>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</si>
  <si>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</si>
  <si>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</si>
  <si>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</si>
  <si>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</si>
  <si>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</si>
  <si>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</si>
  <si>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</si>
  <si>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</si>
  <si>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</si>
  <si>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</si>
  <si>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</si>
  <si>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</si>
  <si>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</si>
  <si>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</si>
  <si>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</si>
  <si>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</si>
  <si>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</si>
  <si>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</si>
  <si>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</si>
  <si>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</si>
  <si>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</si>
  <si>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</si>
  <si>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</si>
  <si>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</si>
  <si>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</si>
  <si>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</si>
  <si>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</si>
  <si>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</si>
  <si>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</si>
  <si>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</si>
  <si>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</si>
  <si>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</si>
  <si>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</si>
  <si>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</si>
  <si>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</si>
  <si>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</si>
  <si>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</si>
  <si>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</si>
  <si>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</si>
  <si>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</si>
  <si>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</si>
  <si>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</si>
  <si>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</si>
  <si>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</si>
  <si>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</si>
  <si>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</si>
  <si>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</si>
  <si>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</si>
  <si>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</si>
  <si>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</si>
  <si>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</si>
  <si>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</si>
  <si>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</si>
  <si>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</si>
  <si>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</si>
  <si>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</si>
  <si>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</si>
  <si>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</si>
  <si>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</si>
  <si>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</si>
  <si>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</si>
  <si>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</si>
  <si>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</si>
  <si>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</si>
  <si>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</si>
  <si>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</si>
  <si>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</si>
  <si>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</si>
  <si>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</si>
  <si>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</si>
  <si>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</si>
  <si>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</si>
  <si>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</si>
  <si>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</si>
  <si>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</si>
  <si>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</si>
  <si>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</si>
  <si>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</si>
  <si>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</si>
  <si>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</si>
  <si>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</si>
  <si>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</si>
  <si>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</si>
  <si>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</si>
  <si>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</si>
  <si>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</si>
  <si>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</si>
  <si>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</si>
  <si>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</si>
  <si>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</si>
  <si>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</si>
  <si>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</si>
  <si>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</si>
  <si>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</si>
  <si>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</si>
  <si>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</si>
  <si>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</si>
  <si>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</si>
  <si>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</si>
  <si>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</si>
  <si>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</si>
  <si>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</si>
  <si>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</si>
  <si>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</si>
  <si>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</si>
  <si>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</si>
  <si>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</si>
  <si>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</si>
  <si>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</si>
  <si>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</si>
  <si>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</si>
  <si>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</si>
  <si>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</si>
  <si>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</si>
  <si>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</si>
  <si>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</si>
  <si>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</si>
  <si>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</si>
  <si>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</si>
  <si>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</si>
  <si>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</si>
  <si>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</si>
  <si>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</si>
  <si>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</si>
  <si>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</si>
  <si>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</si>
  <si>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</si>
  <si>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</si>
  <si>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</si>
  <si>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</si>
  <si>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</si>
  <si>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</si>
  <si>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</si>
  <si>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</si>
  <si>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</si>
  <si>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</si>
  <si>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</si>
  <si>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</si>
  <si>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</si>
  <si>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</si>
  <si>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</si>
  <si>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</si>
  <si>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</si>
  <si>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</si>
  <si>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</si>
  <si>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</si>
  <si>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</si>
  <si>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</si>
  <si>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</si>
  <si>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</si>
  <si>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</si>
  <si>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</si>
  <si>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</si>
  <si>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</si>
  <si>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</si>
  <si>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</si>
  <si>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</si>
  <si>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</si>
  <si>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</si>
  <si>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</si>
  <si>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</si>
  <si>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</si>
  <si>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</si>
  <si>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</si>
  <si>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</si>
  <si>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</si>
  <si>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</si>
  <si>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</si>
  <si>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</si>
  <si>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</si>
  <si>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</si>
  <si>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</si>
  <si>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</si>
  <si>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</si>
  <si>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</si>
  <si>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</si>
  <si>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</si>
  <si>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</si>
  <si>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</si>
  <si>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</si>
  <si>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</si>
  <si>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</si>
  <si>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</si>
  <si>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</si>
  <si>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</si>
  <si>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</si>
  <si>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</si>
  <si>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</si>
  <si>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</si>
  <si>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</si>
  <si>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</si>
  <si>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</si>
  <si>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</si>
  <si>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</si>
  <si>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</si>
  <si>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</si>
  <si>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</si>
  <si>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</si>
  <si>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</si>
  <si>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</si>
  <si>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</si>
  <si>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</si>
  <si>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</si>
  <si>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</si>
  <si>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</si>
  <si>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</si>
  <si>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</si>
  <si>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</si>
  <si>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</si>
  <si>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</si>
  <si>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</si>
  <si>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</si>
  <si>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</si>
  <si>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</si>
  <si>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</si>
  <si>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</si>
  <si>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</si>
  <si>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</si>
  <si>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</si>
  <si>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</si>
  <si>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</si>
  <si>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</si>
  <si>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</si>
  <si>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</si>
  <si>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</si>
  <si>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</si>
  <si>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</si>
  <si>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</si>
  <si>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</si>
  <si>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</si>
  <si>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</si>
  <si>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</si>
  <si>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</si>
  <si>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</si>
  <si>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</si>
  <si>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</si>
  <si>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</si>
  <si>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</si>
  <si>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</si>
  <si>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</si>
  <si>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</si>
  <si>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</si>
  <si>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</si>
  <si>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</si>
  <si>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</si>
  <si>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</si>
  <si>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</si>
  <si>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</si>
  <si>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</si>
  <si>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</si>
  <si>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</si>
  <si>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</si>
  <si>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</si>
  <si>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</si>
  <si>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</si>
  <si>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</si>
  <si>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</si>
  <si>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</si>
  <si>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</si>
  <si>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</si>
  <si>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</si>
  <si>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</si>
  <si>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</si>
  <si>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</si>
  <si>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</si>
  <si>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</si>
  <si>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</si>
  <si>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</si>
  <si>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</si>
  <si>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</si>
  <si>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</si>
  <si>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</si>
  <si>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</si>
  <si>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</si>
  <si>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</si>
  <si>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</si>
  <si>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</si>
  <si>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</si>
  <si>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</si>
  <si>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</si>
  <si>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</si>
  <si>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</si>
  <si>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</si>
  <si>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</si>
  <si>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</si>
  <si>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</si>
  <si>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</si>
  <si>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</si>
  <si>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</si>
  <si>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</si>
  <si>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</si>
  <si>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</si>
  <si>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</si>
  <si>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</si>
  <si>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</si>
  <si>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</si>
  <si>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</si>
  <si>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</si>
  <si>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</si>
  <si>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</si>
  <si>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</si>
  <si>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</si>
  <si>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</si>
  <si>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</si>
  <si>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</si>
  <si>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</si>
  <si>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</si>
  <si>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</si>
  <si>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</si>
  <si>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</si>
  <si>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</si>
  <si>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</si>
  <si>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</si>
  <si>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</si>
  <si>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</si>
  <si>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</si>
  <si>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</si>
  <si>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</si>
  <si>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</si>
  <si>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</si>
  <si>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</si>
  <si>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</si>
  <si>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</si>
  <si>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</si>
  <si>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</si>
  <si>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</si>
  <si>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</si>
  <si>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</si>
  <si>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</si>
  <si>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</si>
  <si>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</si>
  <si>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</si>
  <si>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</si>
  <si>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</si>
  <si>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</si>
  <si>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</si>
  <si>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</si>
  <si>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</si>
  <si>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</si>
  <si>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</si>
  <si>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</si>
  <si>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</si>
  <si>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</si>
  <si>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</si>
  <si>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</si>
  <si>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</si>
  <si>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</si>
  <si>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</si>
  <si>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</si>
  <si>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</si>
  <si>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</si>
  <si>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</si>
  <si>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</si>
  <si>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</si>
  <si>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</si>
  <si>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</si>
  <si>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</si>
  <si>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</si>
  <si>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</si>
  <si>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</si>
  <si>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</si>
  <si>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</si>
  <si>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</si>
  <si>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</si>
  <si>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</si>
  <si>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</si>
  <si>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</si>
  <si>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</si>
  <si>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</si>
  <si>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</si>
  <si>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</si>
  <si>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</si>
  <si>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</si>
  <si>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</si>
  <si>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</si>
  <si>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</si>
  <si>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</si>
  <si>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</si>
  <si>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</si>
  <si>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</si>
  <si>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</si>
  <si>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</si>
  <si>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</si>
  <si>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</si>
  <si>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</si>
  <si>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</si>
  <si>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</si>
  <si>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</si>
  <si>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</si>
  <si>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</si>
  <si>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</si>
  <si>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</si>
  <si>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</si>
  <si>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</si>
  <si>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</si>
  <si>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</si>
  <si>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</si>
  <si>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</si>
  <si>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</si>
  <si>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</si>
  <si>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</si>
  <si>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</si>
  <si>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</si>
  <si>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</si>
  <si>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</si>
  <si>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</si>
  <si>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</si>
  <si>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</si>
  <si>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</si>
  <si>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</si>
  <si>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</si>
  <si>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</si>
  <si>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</si>
  <si>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</si>
  <si>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</si>
  <si>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</si>
  <si>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</si>
  <si>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</si>
  <si>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</si>
  <si>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</si>
  <si>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</si>
  <si>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</si>
  <si>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</si>
  <si>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</si>
  <si>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</si>
  <si>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</si>
  <si>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</si>
  <si>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</si>
  <si>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</si>
  <si>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</si>
  <si>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</si>
  <si>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</si>
  <si>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</si>
  <si>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</si>
  <si>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</si>
  <si>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</si>
  <si>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</si>
  <si>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</si>
  <si>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</si>
  <si>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</si>
  <si>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</si>
  <si>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</si>
  <si>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</si>
  <si>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</si>
  <si>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</si>
  <si>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</si>
  <si>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</si>
  <si>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</si>
  <si>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</si>
  <si>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</si>
  <si>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</si>
  <si>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</si>
  <si>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</si>
  <si>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</si>
  <si>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</si>
  <si>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</si>
  <si>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</si>
  <si>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</si>
  <si>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</si>
  <si>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</si>
  <si>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</si>
  <si>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</si>
  <si>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</si>
  <si>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</si>
  <si>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</si>
  <si>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</si>
  <si>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</si>
  <si>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</si>
  <si>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</si>
  <si>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</si>
  <si>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</si>
  <si>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</si>
  <si>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</si>
  <si>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</si>
  <si>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</si>
  <si>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</si>
  <si>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</si>
  <si>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</si>
  <si>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</si>
  <si>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</si>
  <si>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</si>
  <si>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</si>
  <si>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</si>
  <si>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</si>
  <si>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</si>
  <si>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</si>
  <si>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</si>
  <si>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</si>
  <si>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</si>
  <si>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</si>
  <si>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</si>
  <si>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</si>
  <si>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</si>
  <si>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</si>
  <si>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</si>
  <si>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</si>
  <si>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</si>
  <si>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</si>
  <si>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</si>
  <si>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</si>
  <si>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</si>
  <si>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</si>
  <si>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</si>
  <si>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</si>
  <si>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</si>
  <si>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</si>
  <si>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</si>
  <si>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</si>
  <si>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</si>
  <si>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</si>
  <si>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</si>
  <si>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</si>
  <si>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</si>
  <si>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</si>
  <si>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</si>
  <si>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</si>
  <si>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</si>
  <si>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</si>
  <si>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</si>
  <si>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</si>
  <si>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</si>
  <si>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</si>
  <si>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</si>
  <si>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</si>
  <si>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</si>
  <si>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</si>
  <si>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</si>
  <si>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</si>
  <si>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</si>
  <si>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</si>
  <si>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</si>
  <si>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</si>
  <si>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</si>
  <si>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</si>
  <si>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</si>
  <si>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</si>
  <si>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</si>
  <si>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</si>
  <si>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</si>
  <si>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</si>
  <si>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</si>
  <si>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</si>
  <si>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</si>
  <si>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</si>
  <si>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</si>
  <si>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</si>
  <si>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</si>
  <si>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</si>
  <si>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</si>
  <si>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</si>
  <si>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</si>
  <si>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</si>
  <si>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</si>
  <si>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</si>
  <si>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</si>
  <si>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</si>
  <si>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</si>
  <si>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</si>
  <si>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</si>
  <si>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</si>
  <si>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</si>
  <si>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</si>
  <si>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</si>
  <si>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</si>
  <si>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</si>
  <si>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</si>
  <si>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</si>
  <si>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</si>
  <si>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</si>
  <si>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</si>
  <si>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</si>
  <si>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</si>
  <si>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</si>
  <si>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</si>
  <si>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</si>
  <si>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</si>
  <si>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</si>
  <si>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</si>
  <si>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</si>
  <si>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</si>
  <si>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</si>
  <si>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</si>
  <si>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</si>
  <si>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</si>
  <si>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</si>
  <si>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</si>
  <si>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</si>
  <si>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</si>
  <si>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</si>
  <si>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</si>
  <si>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</si>
  <si>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</si>
  <si>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</si>
  <si>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</si>
  <si>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</si>
  <si>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</si>
  <si>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</si>
  <si>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</si>
  <si>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</si>
  <si>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</si>
  <si>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</si>
  <si>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</si>
  <si>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</si>
  <si>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</si>
  <si>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</si>
  <si>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</si>
  <si>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</si>
  <si>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</si>
  <si>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</si>
  <si>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</si>
  <si>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</si>
  <si>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</si>
  <si>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</si>
  <si>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</si>
  <si>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</si>
  <si>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</si>
  <si>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</si>
  <si>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</si>
  <si>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</si>
  <si>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</si>
  <si>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</si>
  <si>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</si>
  <si>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</si>
  <si>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</si>
  <si>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</si>
  <si>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</si>
  <si>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</si>
  <si>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</si>
  <si>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</si>
  <si>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</si>
  <si>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</si>
  <si>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</si>
  <si>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</si>
  <si>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</si>
  <si>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</si>
  <si>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</si>
  <si>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</si>
  <si>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</si>
  <si>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</si>
  <si>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</si>
  <si>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</si>
  <si>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</si>
  <si>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</si>
  <si>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</si>
  <si>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</si>
  <si>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</si>
  <si>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</si>
  <si>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</si>
  <si>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</si>
  <si>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</si>
  <si>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</si>
  <si>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</si>
  <si>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</si>
  <si>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</si>
  <si>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</si>
  <si>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</si>
  <si>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</si>
  <si>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</si>
  <si>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</si>
  <si>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</si>
  <si>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</si>
  <si>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</si>
  <si>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</si>
  <si>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</si>
  <si>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</si>
  <si>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</si>
  <si>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</si>
  <si>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</si>
  <si>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</si>
  <si>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</si>
  <si>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</si>
  <si>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</si>
  <si>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</si>
  <si>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</si>
  <si>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</si>
  <si>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</si>
  <si>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</si>
  <si>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</si>
  <si>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</si>
  <si>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</si>
  <si>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</si>
  <si>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</si>
  <si>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</si>
  <si>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</si>
  <si>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</si>
  <si>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</si>
  <si>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</si>
  <si>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</si>
  <si>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</si>
  <si>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</si>
  <si>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</si>
  <si>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</si>
  <si>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</si>
  <si>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</si>
  <si>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</si>
  <si>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</si>
  <si>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</si>
  <si>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</si>
  <si>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</si>
  <si>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</si>
  <si>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</si>
  <si>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</si>
  <si>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</si>
  <si>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</si>
  <si>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</si>
  <si>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</si>
  <si>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</si>
  <si>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</si>
  <si>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</si>
  <si>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</si>
  <si>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</si>
  <si>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</si>
  <si>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</si>
  <si>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</si>
  <si>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</si>
  <si>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</si>
  <si>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</si>
  <si>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</si>
  <si>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</si>
  <si>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</si>
  <si>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</si>
  <si>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</si>
  <si>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</si>
  <si>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</si>
  <si>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</si>
  <si>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</si>
  <si>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</si>
  <si>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</si>
  <si>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</si>
  <si>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</si>
  <si>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</si>
  <si>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</si>
  <si>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</si>
  <si>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</si>
  <si>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</si>
  <si>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</si>
  <si>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</si>
  <si>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</si>
  <si>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</si>
  <si>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</si>
  <si>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</si>
  <si>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</si>
  <si>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</si>
  <si>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</si>
  <si>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</si>
  <si>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</si>
  <si>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</si>
  <si>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</si>
  <si>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</si>
  <si>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</si>
  <si>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</si>
  <si>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</si>
  <si>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</si>
  <si>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</si>
  <si>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</si>
  <si>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</si>
  <si>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</si>
  <si>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</si>
  <si>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</si>
  <si>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</si>
  <si>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</si>
  <si>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</si>
  <si>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</si>
  <si>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</si>
  <si>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</si>
  <si>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</si>
  <si>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</si>
  <si>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</si>
  <si>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</si>
  <si>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</si>
  <si>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</si>
  <si>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</si>
  <si>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</si>
  <si>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</si>
  <si>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</si>
  <si>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</si>
  <si>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</si>
  <si>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</si>
  <si>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</si>
  <si>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</si>
  <si>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</si>
  <si>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</si>
  <si>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</si>
  <si>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</si>
  <si>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</si>
  <si>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</si>
  <si>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</si>
  <si>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</si>
  <si>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</si>
  <si>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</si>
  <si>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</si>
  <si>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</si>
  <si>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</si>
  <si>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</si>
  <si>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</si>
  <si>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</si>
  <si>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</si>
  <si>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</si>
  <si>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</si>
  <si>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</si>
  <si>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</si>
  <si>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</si>
  <si>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</si>
  <si>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</si>
  <si>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</si>
  <si>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</si>
  <si>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</si>
  <si>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</si>
  <si>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</si>
  <si>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</si>
  <si>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</si>
  <si>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</si>
  <si>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</si>
  <si>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</si>
  <si>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</si>
  <si>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</si>
  <si>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</si>
  <si>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</si>
  <si>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</si>
  <si>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</si>
  <si>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</si>
  <si>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</si>
  <si>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</si>
  <si>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</si>
  <si>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</si>
  <si>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</si>
  <si>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</si>
  <si>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</si>
  <si>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</si>
  <si>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</si>
  <si>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</si>
  <si>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</si>
  <si>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</si>
  <si>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</si>
  <si>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</si>
  <si>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</si>
  <si>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</si>
  <si>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</si>
  <si>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</si>
  <si>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</si>
  <si>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</si>
  <si>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</si>
  <si>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</si>
  <si>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</si>
  <si>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</si>
  <si>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</si>
  <si>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</si>
  <si>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</si>
  <si>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</si>
  <si>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</si>
  <si>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</si>
  <si>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</si>
  <si>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</si>
  <si>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</si>
  <si>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</si>
  <si>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</si>
  <si>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</si>
  <si>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</si>
  <si>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</si>
  <si>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</si>
  <si>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</si>
  <si>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</si>
  <si>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</si>
  <si>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</si>
  <si>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</si>
  <si>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</si>
  <si>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</si>
  <si>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</si>
  <si>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</si>
  <si>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</si>
  <si>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</si>
  <si>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</si>
  <si>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</si>
  <si>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</si>
  <si>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</si>
  <si>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</si>
  <si>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</si>
  <si>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</si>
  <si>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</si>
  <si>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</si>
  <si>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</si>
  <si>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</si>
  <si>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</si>
  <si>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</si>
  <si>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</si>
  <si>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</si>
  <si>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</si>
  <si>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</si>
  <si>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</si>
  <si>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</si>
  <si>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</si>
  <si>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</si>
  <si>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</si>
  <si>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</si>
  <si>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</si>
  <si>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</si>
  <si>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</si>
  <si>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</si>
  <si>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</si>
  <si>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</si>
  <si>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</si>
  <si>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</si>
  <si>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</si>
  <si>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</si>
  <si>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</si>
  <si>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</si>
  <si>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</si>
  <si>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</si>
  <si>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</si>
  <si>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</si>
  <si>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</si>
  <si>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</si>
  <si>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</si>
  <si>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</si>
  <si>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</si>
  <si>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</si>
  <si>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</si>
  <si>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</si>
  <si>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</si>
  <si>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</si>
  <si>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</si>
  <si>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</si>
  <si>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</si>
  <si>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</si>
  <si>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</si>
  <si>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</si>
  <si>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</si>
  <si>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</si>
  <si>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</si>
  <si>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</si>
  <si>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</si>
  <si>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</si>
  <si>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</si>
  <si>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</si>
  <si>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</si>
  <si>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</si>
  <si>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</si>
  <si>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</si>
  <si>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</si>
  <si>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</si>
  <si>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</si>
  <si>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</si>
  <si>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</si>
  <si>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</si>
  <si>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</si>
  <si>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</si>
  <si>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</si>
  <si>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</si>
  <si>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</si>
  <si>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</si>
  <si>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</si>
  <si>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</si>
  <si>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</si>
  <si>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</si>
  <si>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</si>
  <si>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</si>
  <si>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</si>
  <si>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</si>
  <si>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</si>
  <si>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</si>
  <si>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</si>
  <si>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</si>
  <si>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</si>
  <si>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</si>
  <si>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</si>
  <si>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</si>
  <si>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</si>
  <si>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</si>
  <si>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</si>
  <si>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</si>
  <si>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</si>
  <si>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</si>
  <si>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</si>
  <si>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</si>
  <si>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</si>
  <si>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</si>
  <si>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</si>
  <si>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</si>
  <si>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</si>
  <si>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</si>
  <si>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</si>
  <si>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</si>
  <si>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</si>
  <si>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</si>
  <si>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</si>
  <si>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</si>
  <si>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</si>
  <si>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</si>
  <si>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</si>
  <si>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</si>
  <si>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</si>
  <si>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</si>
  <si>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</si>
  <si>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</si>
  <si>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</si>
  <si>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</si>
  <si>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</si>
  <si>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</si>
  <si>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</si>
  <si>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</si>
  <si>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</si>
  <si>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</si>
  <si>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</si>
  <si>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</si>
  <si>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</si>
  <si>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</si>
  <si>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</si>
  <si>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</si>
  <si>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</si>
  <si>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</si>
  <si>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</si>
  <si>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</si>
  <si>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</si>
  <si>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</si>
  <si>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</si>
  <si>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</si>
  <si>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</si>
  <si>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</si>
  <si>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</si>
  <si>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</si>
  <si>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</si>
  <si>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</si>
  <si>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</si>
  <si>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</si>
  <si>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</si>
  <si>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</si>
  <si>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</si>
  <si>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</si>
  <si>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</si>
  <si>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</si>
  <si>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</si>
  <si>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</si>
  <si>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</si>
  <si>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</si>
  <si>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</si>
  <si>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</si>
  <si>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</si>
  <si>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</si>
  <si>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</si>
  <si>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</si>
  <si>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</si>
  <si>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</si>
  <si>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</si>
  <si>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</si>
  <si>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</si>
  <si>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</si>
  <si>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</si>
  <si>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</si>
  <si>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</si>
  <si>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</si>
  <si>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</si>
  <si>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</si>
  <si>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</si>
  <si>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</si>
  <si>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</si>
  <si>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</si>
  <si>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</si>
  <si>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</si>
  <si>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</si>
  <si>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</si>
  <si>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</si>
  <si>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</si>
  <si>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</si>
  <si>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</si>
  <si>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</si>
  <si>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</si>
  <si>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</si>
  <si>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</si>
  <si>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</si>
  <si>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</si>
  <si>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</si>
  <si>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</si>
  <si>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</si>
  <si>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</si>
  <si>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</si>
  <si>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</si>
  <si>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</si>
  <si>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</si>
  <si>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</si>
  <si>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</si>
  <si>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</si>
  <si>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</si>
  <si>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</si>
  <si>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</si>
  <si>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</si>
  <si>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</si>
  <si>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</si>
  <si>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</si>
  <si>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</si>
  <si>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</si>
  <si>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</si>
  <si>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</si>
  <si>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</si>
  <si>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</si>
  <si>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</si>
  <si>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</si>
  <si>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</si>
  <si>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</si>
  <si>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</si>
  <si>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</si>
  <si>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</si>
  <si>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</si>
  <si>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</si>
  <si>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</si>
  <si>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</si>
  <si>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</si>
  <si>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</si>
  <si>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</si>
  <si>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</si>
  <si>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</si>
  <si>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</si>
  <si>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</si>
  <si>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</si>
  <si>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</si>
  <si>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</si>
  <si>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</si>
  <si>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</si>
  <si>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</si>
  <si>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</si>
  <si>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</si>
  <si>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</si>
  <si>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</si>
  <si>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</si>
  <si>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</si>
  <si>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</si>
  <si>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</si>
  <si>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</si>
  <si>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</si>
  <si>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</si>
  <si>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</si>
  <si>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</si>
  <si>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</si>
  <si>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</si>
  <si>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</si>
  <si>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</si>
  <si>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</si>
  <si>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</si>
  <si>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</si>
  <si>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</si>
  <si>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</si>
  <si>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</si>
  <si>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</si>
  <si>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</si>
  <si>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</si>
  <si>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</si>
  <si>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</si>
  <si>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</si>
  <si>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</si>
  <si>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</si>
  <si>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</si>
  <si>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</si>
  <si>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</si>
  <si>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</si>
  <si>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</si>
  <si>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</si>
  <si>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</si>
  <si>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</si>
  <si>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</si>
  <si>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</si>
  <si>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</si>
  <si>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</si>
  <si>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</si>
  <si>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</si>
  <si>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</si>
  <si>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</si>
  <si>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</si>
  <si>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</si>
  <si>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</si>
  <si>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</si>
  <si>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</si>
  <si>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</si>
  <si>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</si>
  <si>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</si>
  <si>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</si>
  <si>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</si>
  <si>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</si>
  <si>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</si>
  <si>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</si>
  <si>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</si>
  <si>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</si>
  <si>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</si>
  <si>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</si>
  <si>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</si>
  <si>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</si>
  <si>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</si>
  <si>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</si>
  <si>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</si>
  <si>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</si>
  <si>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</si>
  <si>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</si>
  <si>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</si>
  <si>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</si>
  <si>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</si>
  <si>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</si>
  <si>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</si>
  <si>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</si>
  <si>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</si>
  <si>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</si>
  <si>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</si>
  <si>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</si>
  <si>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</si>
  <si>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</si>
  <si>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</si>
  <si>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</si>
  <si>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</si>
  <si>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</si>
  <si>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</si>
  <si>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</si>
  <si>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</si>
  <si>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</si>
  <si>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</si>
  <si>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</si>
  <si>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</si>
  <si>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</si>
  <si>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</si>
  <si>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</si>
  <si>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</si>
  <si>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</si>
  <si>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</si>
  <si>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</si>
  <si>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</si>
  <si>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</si>
  <si>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</si>
  <si>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</si>
  <si>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</si>
  <si>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</si>
  <si>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</si>
  <si>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</si>
  <si>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</si>
  <si>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</si>
  <si>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</si>
  <si>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</si>
  <si>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</si>
  <si>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</si>
  <si>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</si>
  <si>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</si>
  <si>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</si>
  <si>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</si>
  <si>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</si>
  <si>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</si>
  <si>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</si>
  <si>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</si>
  <si>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</si>
  <si>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</si>
  <si>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</si>
  <si>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</si>
  <si>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</si>
  <si>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</si>
  <si>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</si>
  <si>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</si>
  <si>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</si>
  <si>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</si>
  <si>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</si>
  <si>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</si>
  <si>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</si>
  <si>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</si>
  <si>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</si>
  <si>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</si>
  <si>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</si>
  <si>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</si>
  <si>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</si>
  <si>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</si>
  <si>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</si>
  <si>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</si>
  <si>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</si>
  <si>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</si>
  <si>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</si>
  <si>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</si>
  <si>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</si>
  <si>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</si>
  <si>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</si>
  <si>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</si>
  <si>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</si>
  <si>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</si>
  <si>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</si>
  <si>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</si>
  <si>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</si>
  <si>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</si>
  <si>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</si>
  <si>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</si>
  <si>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</si>
  <si>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</si>
  <si>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</si>
  <si>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</si>
  <si>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</si>
  <si>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</si>
  <si>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</si>
  <si>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</si>
  <si>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</si>
  <si>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</si>
  <si>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</si>
  <si>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</si>
  <si>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</si>
  <si>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</si>
  <si>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</si>
  <si>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</si>
  <si>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</si>
  <si>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</si>
  <si>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</si>
  <si>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</si>
  <si>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</si>
  <si>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</si>
  <si>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</si>
  <si>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</si>
  <si>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</si>
  <si>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</si>
  <si>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</si>
  <si>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</si>
  <si>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</si>
  <si>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</si>
  <si>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</si>
  <si>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</si>
  <si>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</si>
  <si>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</si>
  <si>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</si>
  <si>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</si>
  <si>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</si>
  <si>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</si>
  <si>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</si>
  <si>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</si>
  <si>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</si>
  <si>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</si>
  <si>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</si>
  <si>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</si>
  <si>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</si>
  <si>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</si>
  <si>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</si>
  <si>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</si>
  <si>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</si>
  <si>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</si>
  <si>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</si>
  <si>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</si>
  <si>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</si>
  <si>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</si>
  <si>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</si>
  <si>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</si>
  <si>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</si>
  <si>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</si>
  <si>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</si>
  <si>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</si>
  <si>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</si>
  <si>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</si>
  <si>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</si>
  <si>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</si>
  <si>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</si>
  <si>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</si>
  <si>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</si>
  <si>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</si>
  <si>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</si>
  <si>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</si>
  <si>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</si>
  <si>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</si>
  <si>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</si>
  <si>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</si>
  <si>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</si>
  <si>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</si>
  <si>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</si>
  <si>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</si>
  <si>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</si>
  <si>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</si>
  <si>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</si>
  <si>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</si>
  <si>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</si>
  <si>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</si>
  <si>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</si>
  <si>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</si>
  <si>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</si>
  <si>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</si>
  <si>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</si>
  <si>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</si>
  <si>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</si>
  <si>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</si>
  <si>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</si>
  <si>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</si>
  <si>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</si>
  <si>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</si>
  <si>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</si>
  <si>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</si>
  <si>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</si>
  <si>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</si>
  <si>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</si>
  <si>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</si>
  <si>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</si>
  <si>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</si>
  <si>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</si>
  <si>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</si>
  <si>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</si>
  <si>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</si>
  <si>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</si>
  <si>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</si>
  <si>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</si>
  <si>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</si>
  <si>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</si>
  <si>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</si>
  <si>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</si>
  <si>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</si>
  <si>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</si>
  <si>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</si>
  <si>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</si>
  <si>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</si>
  <si>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</si>
  <si>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</si>
  <si>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</si>
  <si>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</si>
  <si>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</si>
  <si>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</si>
  <si>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</si>
  <si>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</si>
  <si>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</si>
  <si>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</si>
  <si>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</si>
  <si>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</si>
  <si>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</si>
  <si>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</si>
  <si>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</si>
  <si>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</si>
  <si>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</si>
  <si>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</si>
  <si>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</si>
  <si>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</si>
  <si>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</si>
  <si>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</si>
  <si>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</si>
  <si>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</si>
  <si>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</si>
  <si>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</si>
  <si>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</si>
  <si>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</si>
  <si>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</si>
  <si>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</si>
  <si>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</si>
  <si>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</si>
  <si>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</si>
  <si>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</si>
  <si>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</si>
  <si>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</si>
  <si>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</si>
  <si>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</si>
  <si>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</si>
  <si>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</si>
  <si>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</si>
  <si>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</si>
  <si>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</si>
  <si>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</si>
  <si>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</si>
  <si>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</si>
  <si>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</si>
  <si>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</si>
  <si>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</si>
  <si>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</si>
  <si>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</si>
  <si>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</si>
  <si>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</si>
  <si>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</si>
  <si>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</si>
  <si>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</si>
  <si>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</si>
  <si>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</si>
  <si>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</si>
  <si>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</si>
  <si>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</si>
  <si>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</si>
  <si>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</si>
  <si>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</si>
  <si>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</si>
  <si>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</si>
  <si>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</si>
  <si>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</si>
  <si>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</si>
  <si>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</si>
  <si>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</si>
  <si>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</si>
  <si>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</si>
  <si>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</si>
  <si>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</si>
  <si>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</si>
  <si>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</si>
  <si>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</si>
  <si>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</si>
  <si>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</si>
  <si>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</si>
  <si>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</si>
  <si>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</si>
  <si>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</si>
  <si>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</si>
  <si>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</si>
  <si>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</si>
  <si>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</si>
  <si>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</si>
  <si>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</si>
  <si>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</si>
  <si>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</si>
  <si>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</si>
  <si>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</si>
  <si>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</si>
  <si>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</si>
  <si>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</si>
  <si>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</si>
  <si>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</si>
  <si>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</si>
  <si>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</si>
  <si>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</si>
  <si>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</si>
  <si>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</si>
  <si>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</si>
  <si>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</si>
  <si>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</si>
  <si>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</si>
  <si>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</si>
  <si>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</si>
  <si>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</si>
  <si>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</si>
  <si>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</si>
  <si>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</si>
  <si>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</si>
  <si>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</si>
  <si>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</si>
  <si>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</si>
  <si>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</si>
  <si>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</si>
  <si>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</si>
  <si>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</si>
  <si>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</si>
  <si>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</si>
  <si>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</si>
  <si>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</si>
  <si>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</si>
  <si>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</si>
  <si>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</si>
  <si>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</si>
  <si>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</si>
  <si>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</si>
  <si>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</si>
  <si>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</si>
  <si>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</si>
  <si>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</si>
  <si>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</si>
  <si>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</si>
  <si>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</si>
  <si>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</si>
  <si>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</si>
  <si>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</si>
  <si>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</si>
  <si>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</si>
  <si>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</si>
  <si>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</si>
  <si>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</si>
  <si>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</si>
  <si>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</si>
  <si>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</si>
  <si>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</si>
  <si>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</si>
  <si>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</si>
  <si>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</si>
  <si>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</si>
  <si>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</si>
  <si>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</si>
  <si>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</si>
  <si>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</si>
  <si>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</si>
  <si>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</si>
  <si>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</si>
  <si>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</si>
  <si>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</si>
  <si>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</si>
  <si>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</si>
  <si>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</si>
  <si>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</si>
  <si>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</si>
  <si>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</si>
  <si>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</si>
  <si>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</si>
  <si>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</si>
  <si>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</si>
  <si>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</si>
  <si>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</si>
  <si>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</si>
  <si>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</si>
  <si>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</si>
  <si>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</si>
  <si>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</si>
  <si>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</si>
  <si>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</si>
  <si>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</si>
  <si>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</si>
  <si>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</si>
  <si>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</si>
  <si>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</si>
  <si>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</si>
  <si>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</si>
  <si>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</si>
  <si>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</si>
  <si>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</si>
  <si>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</si>
  <si>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</si>
  <si>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</si>
  <si>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</si>
  <si>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</si>
  <si>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</si>
  <si>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</si>
  <si>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</si>
  <si>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</si>
  <si>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</si>
  <si>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</si>
  <si>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</si>
  <si>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</si>
  <si>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</si>
  <si>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</si>
  <si>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</si>
  <si>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</si>
  <si>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</si>
  <si>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</si>
  <si>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</si>
  <si>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</si>
  <si>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</si>
  <si>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</si>
  <si>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</si>
  <si>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</si>
  <si>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</si>
  <si>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</si>
  <si>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</si>
  <si>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</si>
  <si>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</si>
  <si>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</si>
  <si>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</si>
  <si>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</si>
  <si>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</si>
  <si>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</si>
  <si>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</si>
  <si>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</si>
  <si>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</si>
  <si>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</si>
  <si>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</si>
  <si>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</si>
  <si>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</si>
  <si>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</si>
  <si>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</si>
  <si>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</si>
  <si>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</si>
  <si>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</si>
  <si>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</si>
  <si>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</si>
  <si>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</si>
  <si>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</si>
  <si>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</si>
  <si>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</si>
  <si>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</si>
  <si>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</si>
  <si>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</si>
  <si>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</si>
  <si>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</si>
  <si>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</si>
  <si>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</si>
  <si>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</si>
  <si>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</si>
  <si>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</si>
  <si>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</si>
  <si>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</si>
  <si>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</si>
  <si>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</si>
  <si>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</si>
  <si>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</si>
  <si>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</si>
  <si>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</si>
  <si>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</si>
  <si>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</si>
  <si>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</si>
  <si>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</si>
  <si>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</si>
  <si>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</si>
  <si>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</si>
  <si>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</si>
  <si>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</si>
  <si>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</si>
  <si>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</si>
  <si>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</si>
  <si>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</si>
  <si>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</si>
  <si>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</si>
  <si>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</si>
  <si>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</si>
  <si>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</si>
  <si>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</si>
  <si>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</si>
  <si>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</si>
  <si>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</si>
  <si>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</si>
  <si>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</si>
  <si>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</si>
  <si>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</si>
  <si>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</si>
  <si>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</si>
  <si>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</si>
  <si>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</si>
  <si>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</si>
  <si>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</si>
  <si>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</si>
  <si>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</si>
  <si>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</si>
  <si>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</si>
  <si>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</si>
  <si>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</si>
  <si>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</si>
  <si>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</si>
  <si>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</si>
  <si>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</si>
  <si>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</si>
  <si>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</si>
  <si>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</si>
  <si>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</si>
  <si>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</si>
  <si>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</si>
  <si>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</si>
  <si>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</si>
  <si>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</si>
  <si>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</si>
  <si>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</si>
  <si>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</si>
  <si>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</si>
  <si>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</si>
  <si>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</si>
  <si>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</si>
  <si>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</si>
  <si>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</si>
  <si>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</si>
  <si>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</si>
  <si>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</si>
  <si>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</si>
  <si>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</si>
  <si>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</si>
  <si>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</si>
  <si>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</si>
  <si>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</si>
  <si>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</si>
  <si>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</si>
  <si>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</si>
  <si>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</si>
  <si>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</si>
  <si>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</si>
  <si>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</si>
  <si>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</si>
  <si>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</si>
  <si>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</si>
  <si>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</si>
  <si>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</si>
  <si>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</si>
  <si>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</si>
  <si>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</si>
  <si>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</si>
  <si>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</si>
  <si>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</si>
  <si>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</si>
  <si>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</si>
  <si>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</si>
  <si>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</si>
  <si>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</si>
  <si>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</si>
  <si>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</si>
  <si>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</si>
  <si>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</si>
  <si>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</si>
  <si>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</si>
  <si>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</si>
  <si>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</si>
  <si>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</si>
  <si>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</si>
  <si>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</si>
  <si>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</si>
  <si>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</si>
  <si>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</si>
  <si>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</si>
  <si>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</si>
  <si>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</si>
  <si>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</si>
  <si>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</si>
  <si>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</si>
  <si>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</si>
  <si>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</si>
  <si>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</si>
  <si>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</si>
  <si>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</si>
  <si>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</si>
  <si>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</si>
  <si>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</si>
  <si>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</si>
  <si>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</si>
  <si>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</si>
  <si>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</si>
  <si>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</si>
  <si>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</si>
  <si>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</si>
  <si>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</si>
  <si>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</si>
  <si>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</si>
  <si>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</si>
  <si>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</si>
  <si>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</si>
  <si>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</si>
  <si>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</si>
  <si>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</si>
  <si>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</si>
  <si>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</si>
  <si>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</si>
  <si>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</si>
  <si>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</si>
  <si>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</si>
  <si>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</si>
  <si>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</si>
  <si>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</si>
  <si>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</si>
  <si>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</si>
  <si>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</si>
  <si>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</si>
  <si>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</si>
  <si>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</si>
  <si>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</si>
  <si>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</si>
  <si>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</si>
  <si>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</si>
  <si>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</si>
  <si>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</si>
  <si>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</si>
  <si>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</si>
  <si>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</si>
  <si>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</si>
  <si>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</si>
  <si>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</si>
  <si>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</si>
  <si>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</si>
  <si>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</si>
  <si>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</si>
  <si>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</si>
  <si>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</si>
  <si>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</si>
  <si>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</si>
  <si>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</si>
  <si>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</si>
  <si>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</si>
  <si>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</si>
  <si>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</si>
  <si>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</si>
  <si>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</si>
  <si>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</si>
  <si>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</si>
  <si>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</si>
  <si>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</si>
  <si>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</si>
  <si>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</si>
  <si>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</si>
  <si>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</si>
  <si>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</si>
  <si>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</si>
  <si>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</si>
  <si>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</si>
  <si>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</si>
  <si>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</si>
  <si>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</si>
  <si>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</si>
  <si>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</si>
  <si>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</si>
  <si>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</si>
  <si>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</si>
  <si>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</si>
  <si>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</si>
  <si>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</si>
  <si>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</si>
  <si>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</si>
  <si>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</si>
  <si>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</si>
  <si>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</si>
  <si>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</si>
  <si>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</si>
  <si>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</si>
  <si>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</si>
  <si>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</si>
  <si>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</si>
  <si>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</si>
  <si>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</si>
  <si>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</si>
  <si>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</si>
  <si>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</si>
  <si>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</si>
  <si>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</si>
  <si>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</si>
  <si>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</si>
  <si>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</si>
  <si>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</si>
  <si>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</si>
  <si>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</si>
  <si>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</si>
  <si>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</si>
  <si>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</si>
  <si>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</si>
  <si>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</si>
  <si>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</si>
  <si>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</si>
  <si>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</si>
  <si>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</si>
  <si>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</si>
  <si>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</si>
  <si>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</si>
  <si>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</si>
  <si>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</si>
  <si>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</si>
  <si>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</si>
  <si>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</si>
  <si>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</si>
  <si>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</si>
  <si>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</si>
  <si>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</si>
  <si>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</si>
  <si>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</si>
  <si>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</si>
  <si>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</si>
  <si>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</si>
  <si>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</si>
  <si>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</si>
  <si>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</si>
  <si>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</si>
  <si>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</si>
  <si>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</si>
  <si>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</si>
  <si>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</si>
  <si>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</si>
  <si>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</si>
  <si>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</si>
  <si>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</si>
  <si>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</si>
  <si>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</si>
  <si>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</si>
  <si>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</si>
  <si>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</si>
  <si>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</si>
  <si>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</si>
  <si>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</si>
  <si>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</si>
  <si>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</si>
  <si>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</si>
  <si>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</si>
  <si>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</si>
  <si>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</si>
  <si>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</si>
  <si>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</si>
  <si>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</si>
  <si>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</si>
  <si>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</si>
  <si>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</si>
  <si>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</si>
  <si>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</si>
  <si>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</si>
  <si>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</si>
  <si>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</si>
  <si>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</si>
  <si>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</si>
  <si>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</si>
  <si>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</si>
  <si>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</si>
  <si>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</si>
  <si>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</si>
  <si>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</si>
  <si>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</si>
  <si>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</si>
  <si>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</si>
  <si>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</si>
  <si>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</si>
  <si>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</si>
  <si>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</si>
  <si>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</si>
  <si>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</si>
  <si>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</si>
  <si>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</si>
  <si>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</si>
  <si>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</si>
  <si>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</si>
  <si>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</si>
  <si>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</si>
  <si>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</si>
  <si>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</si>
  <si>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</si>
  <si>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</si>
  <si>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</si>
  <si>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</si>
  <si>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</si>
  <si>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</si>
  <si>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</si>
  <si>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</si>
  <si>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</si>
  <si>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</si>
  <si>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</si>
  <si>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</si>
  <si>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</si>
  <si>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</si>
  <si>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</si>
  <si>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</si>
  <si>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</si>
  <si>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</si>
  <si>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</si>
  <si>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</si>
  <si>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</si>
  <si>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</si>
  <si>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</si>
  <si>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</si>
  <si>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</si>
  <si>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</si>
  <si>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</si>
  <si>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</si>
  <si>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</si>
  <si>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</si>
  <si>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</si>
  <si>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</si>
  <si>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</si>
  <si>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</si>
  <si>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</si>
  <si>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</si>
  <si>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</si>
  <si>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</si>
  <si>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</si>
  <si>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</si>
  <si>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</si>
  <si>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</si>
  <si>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</si>
  <si>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</si>
  <si>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</si>
  <si>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</si>
  <si>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</si>
  <si>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</si>
  <si>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</si>
  <si>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</si>
  <si>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</si>
  <si>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</si>
  <si>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</si>
  <si>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</si>
  <si>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</si>
  <si>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</si>
  <si>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</si>
  <si>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</si>
  <si>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</si>
  <si>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</si>
  <si>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</si>
  <si>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</si>
  <si>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</si>
  <si>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</si>
  <si>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</si>
  <si>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</si>
  <si>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</si>
  <si>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</si>
  <si>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</si>
  <si>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</si>
  <si>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</si>
  <si>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</si>
  <si>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</si>
  <si>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</si>
  <si>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</si>
  <si>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</si>
  <si>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</si>
  <si>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</si>
  <si>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</si>
  <si>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</si>
  <si>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</si>
  <si>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</si>
  <si>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</si>
  <si>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</si>
  <si>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</si>
  <si>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</si>
  <si>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</si>
  <si>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</si>
  <si>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</si>
  <si>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</si>
  <si>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</si>
  <si>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</si>
  <si>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</si>
  <si>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</si>
  <si>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</si>
  <si>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</si>
  <si>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</si>
  <si>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</si>
  <si>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</si>
  <si>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</si>
  <si>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</si>
  <si>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</si>
  <si>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</si>
  <si>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</si>
  <si>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</si>
  <si>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</si>
  <si>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</si>
  <si>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</si>
  <si>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</si>
  <si>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</si>
  <si>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</si>
  <si>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</si>
  <si>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</si>
  <si>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</si>
  <si>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</si>
  <si>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</si>
  <si>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</si>
  <si>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</si>
  <si>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</si>
  <si>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</si>
  <si>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</si>
  <si>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</si>
  <si>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</si>
  <si>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</si>
  <si>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</si>
  <si>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</si>
  <si>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</si>
  <si>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</si>
  <si>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</si>
  <si>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</si>
  <si>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</si>
  <si>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</si>
  <si>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</si>
  <si>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</si>
  <si>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</si>
  <si>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</si>
  <si>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</si>
  <si>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</si>
  <si>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</si>
  <si>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</si>
  <si>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</si>
  <si>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</si>
  <si>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</si>
  <si>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</si>
  <si>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</si>
  <si>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</si>
  <si>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</si>
  <si>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</si>
  <si>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</si>
  <si>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</si>
  <si>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</si>
  <si>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</si>
  <si>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</si>
  <si>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</si>
  <si>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</si>
  <si>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</si>
  <si>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</si>
  <si>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</si>
  <si>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</si>
  <si>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</si>
  <si>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</si>
  <si>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</si>
  <si>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</si>
  <si>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</si>
  <si>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</si>
  <si>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</si>
  <si>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</si>
  <si>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</si>
  <si>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</si>
  <si>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</si>
  <si>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</si>
  <si>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</si>
  <si>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</si>
  <si>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</si>
  <si>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</si>
  <si>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</si>
  <si>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</si>
  <si>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</si>
  <si>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</si>
  <si>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</si>
  <si>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</si>
  <si>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</si>
  <si>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</si>
  <si>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</si>
  <si>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</si>
  <si>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</si>
  <si>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</si>
  <si>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</si>
  <si>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</si>
  <si>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</si>
  <si>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</si>
  <si>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</si>
  <si>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</si>
  <si>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</si>
  <si>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</si>
  <si>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</si>
  <si>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</si>
  <si>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</si>
  <si>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</si>
  <si>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</si>
  <si>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</si>
  <si>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</si>
  <si>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</si>
  <si>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</si>
  <si>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</si>
  <si>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</si>
  <si>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</si>
  <si>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</si>
  <si>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</si>
  <si>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</si>
  <si>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</si>
  <si>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</si>
  <si>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</si>
  <si>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</si>
  <si>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</si>
  <si>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</si>
  <si>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</si>
  <si>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</si>
  <si>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</si>
  <si>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</si>
  <si>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</si>
  <si>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</si>
  <si>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</si>
  <si>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</si>
  <si>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</si>
  <si>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</si>
  <si>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</si>
  <si>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</si>
  <si>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</si>
  <si>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</si>
  <si>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</si>
  <si>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</si>
  <si>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</si>
  <si>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</si>
  <si>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</si>
  <si>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</si>
  <si>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</si>
  <si>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</si>
  <si>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</si>
  <si>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</si>
  <si>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</si>
  <si>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</si>
  <si>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</si>
  <si>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</si>
  <si>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</si>
  <si>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</si>
  <si>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</si>
  <si>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</si>
  <si>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</si>
  <si>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</si>
  <si>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</si>
  <si>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</si>
  <si>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</si>
  <si>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</si>
  <si>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</si>
  <si>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</si>
  <si>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</si>
  <si>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</si>
  <si>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</si>
  <si>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</si>
  <si>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</si>
  <si>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</si>
  <si>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</si>
  <si>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</si>
  <si>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</si>
  <si>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</si>
  <si>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</si>
  <si>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</si>
  <si>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</si>
  <si>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</si>
  <si>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</si>
  <si>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</si>
  <si>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</si>
  <si>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</si>
  <si>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</si>
  <si>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</si>
  <si>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</si>
  <si>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</si>
  <si>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</si>
  <si>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</si>
  <si>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</si>
  <si>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</si>
  <si>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</si>
  <si>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</si>
  <si>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</si>
  <si>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</si>
  <si>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</si>
  <si>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</si>
  <si>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</si>
  <si>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</si>
  <si>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</si>
  <si>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</si>
  <si>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</si>
  <si>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</si>
  <si>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</si>
  <si>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</si>
  <si>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</si>
  <si>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</si>
  <si>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</si>
  <si>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</si>
  <si>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</si>
  <si>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</si>
  <si>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</si>
  <si>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</si>
  <si>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</si>
  <si>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</si>
  <si>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</si>
  <si>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</si>
  <si>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</si>
  <si>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</si>
  <si>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</si>
  <si>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</si>
  <si>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</si>
  <si>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</si>
  <si>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</si>
  <si>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</si>
  <si>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</si>
  <si>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</si>
  <si>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</si>
  <si>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</si>
  <si>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</si>
  <si>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</si>
  <si>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</si>
  <si>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</si>
  <si>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</si>
  <si>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</si>
  <si>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</si>
  <si>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</si>
  <si>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</si>
  <si>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</si>
  <si>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</si>
  <si>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</si>
  <si>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</si>
  <si>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</si>
  <si>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</si>
  <si>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</si>
  <si>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</si>
  <si>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</si>
  <si>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</si>
  <si>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</si>
  <si>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</si>
  <si>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</si>
  <si>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</si>
  <si>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</si>
  <si>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</si>
  <si>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</si>
  <si>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</si>
  <si>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</si>
  <si>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</si>
  <si>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</si>
  <si>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</si>
  <si>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</si>
  <si>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</si>
  <si>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</si>
  <si>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</si>
  <si>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</si>
  <si>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</si>
  <si>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</si>
  <si>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</si>
  <si>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</si>
  <si>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</si>
  <si>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</si>
  <si>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</si>
  <si>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</si>
  <si>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</si>
  <si>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</si>
  <si>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</si>
  <si>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</si>
  <si>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</si>
  <si>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</si>
  <si>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</si>
  <si>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</si>
  <si>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</si>
  <si>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</si>
  <si>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</si>
  <si>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</si>
  <si>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</si>
  <si>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</si>
  <si>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</si>
  <si>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</si>
  <si>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</si>
  <si>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</si>
  <si>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</si>
  <si>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</si>
  <si>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</si>
  <si>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</si>
  <si>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</si>
  <si>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</si>
  <si>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</si>
  <si>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</si>
  <si>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</si>
  <si>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</si>
  <si>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</si>
  <si>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</si>
  <si>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</si>
  <si>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</si>
  <si>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</si>
  <si>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</si>
  <si>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</si>
  <si>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</si>
  <si>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</si>
  <si>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</si>
  <si>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</si>
  <si>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</si>
  <si>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</si>
  <si>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</si>
  <si>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</si>
  <si>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</si>
  <si>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</si>
  <si>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</si>
  <si>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</si>
  <si>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</si>
  <si>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</si>
  <si>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</si>
  <si>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</si>
  <si>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</si>
  <si>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</si>
  <si>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</si>
  <si>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</si>
  <si>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</si>
  <si>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</si>
  <si>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</si>
  <si>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</si>
  <si>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</si>
  <si>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</si>
  <si>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</si>
  <si>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</si>
  <si>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</si>
  <si>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</si>
  <si>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</si>
  <si>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</si>
  <si>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</si>
  <si>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</si>
  <si>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</si>
  <si>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</si>
  <si>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</si>
  <si>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</si>
  <si>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</si>
  <si>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</si>
  <si>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</si>
  <si>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</si>
  <si>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</si>
  <si>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</si>
  <si>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</si>
  <si>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</si>
  <si>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</si>
  <si>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</si>
  <si>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</si>
  <si>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</si>
  <si>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</si>
  <si>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</si>
  <si>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</si>
  <si>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</si>
  <si>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</si>
  <si>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</si>
  <si>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</si>
  <si>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</si>
  <si>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</si>
  <si>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</si>
  <si>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</si>
  <si>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</si>
  <si>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</si>
  <si>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</si>
  <si>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</si>
  <si>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</si>
  <si>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</si>
  <si>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</si>
  <si>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</si>
  <si>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</si>
  <si>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</si>
  <si>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</si>
  <si>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</si>
  <si>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</si>
  <si>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</si>
  <si>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</si>
  <si>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</si>
  <si>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</si>
  <si>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</si>
  <si>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</si>
  <si>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</si>
  <si>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</si>
  <si>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</si>
  <si>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</si>
  <si>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</si>
  <si>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</si>
  <si>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</si>
  <si>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</si>
  <si>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</si>
  <si>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</si>
  <si>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</si>
  <si>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</si>
  <si>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</si>
  <si>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</si>
  <si>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</si>
  <si>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</si>
  <si>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</si>
  <si>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</si>
  <si>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</si>
  <si>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</si>
  <si>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</si>
  <si>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</si>
  <si>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</si>
  <si>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</si>
  <si>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</si>
  <si>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</si>
  <si>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</si>
  <si>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</si>
  <si>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</si>
  <si>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</si>
  <si>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</si>
  <si>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</si>
  <si>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</si>
  <si>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</si>
  <si>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</si>
  <si>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</si>
  <si>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</si>
  <si>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</si>
  <si>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</si>
  <si>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</si>
  <si>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</si>
  <si>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</si>
  <si>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</si>
  <si>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</si>
  <si>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</si>
  <si>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</si>
  <si>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</si>
  <si>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</si>
  <si>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</si>
  <si>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</si>
  <si>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</si>
  <si>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</si>
  <si>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</si>
  <si>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</si>
  <si>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</si>
  <si>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</si>
  <si>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</si>
  <si>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</si>
  <si>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</si>
  <si>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</si>
  <si>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</si>
  <si>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</si>
  <si>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</si>
  <si>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</si>
  <si>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</si>
  <si>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</si>
  <si>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</si>
  <si>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</si>
  <si>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</si>
  <si>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</si>
  <si>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</si>
  <si>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</si>
  <si>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</si>
  <si>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</si>
  <si>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</si>
  <si>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</si>
  <si>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</si>
  <si>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</si>
  <si>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</si>
  <si>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</si>
  <si>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</si>
  <si>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</si>
  <si>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</si>
  <si>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</si>
  <si>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</si>
  <si>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</si>
  <si>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</si>
  <si>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</si>
  <si>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</si>
  <si>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</si>
  <si>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</si>
  <si>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</si>
  <si>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</si>
  <si>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</si>
  <si>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</si>
  <si>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</si>
  <si>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</si>
  <si>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</si>
  <si>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</si>
  <si>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</si>
  <si>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</si>
  <si>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</si>
  <si>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</si>
  <si>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</si>
  <si>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</si>
  <si>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</si>
  <si>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</si>
  <si>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</si>
  <si>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</si>
  <si>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</si>
  <si>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</si>
  <si>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</si>
  <si>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</si>
  <si>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</si>
  <si>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</si>
  <si>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</si>
  <si>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</si>
  <si>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</si>
  <si>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</si>
  <si>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</si>
  <si>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</si>
  <si>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</si>
  <si>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</si>
  <si>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</si>
  <si>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</si>
  <si>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</si>
  <si>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</si>
  <si>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</si>
  <si>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</si>
  <si>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</si>
  <si>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</si>
  <si>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</si>
  <si>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</si>
  <si>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</si>
  <si>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</si>
  <si>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</si>
  <si>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</si>
  <si>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Calculated Sales</t>
  </si>
  <si>
    <t>Age_Group</t>
  </si>
  <si>
    <t>Sales_category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</si>
</sst>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topLeftCell="D9" workbookViewId="0">
      <selection activeCell="G1" sqref="G1:G1048576"/>
    </sheetView>
  </sheetViews>
  <sheetFormatPr defaultRowHeight="15" x14ac:dyDescent="0.25"/>
  <cols>
    <col min="1" max="1" width="14.42578125" customWidth="1"/>
    <col min="2" max="2" width="18" customWidth="1"/>
    <col min="3" max="3" width="18.7109375" customWidth="1"/>
    <col min="4" max="4" width="26.140625" customWidth="1"/>
    <col min="6" max="6" width="15.28515625" customWidth="1"/>
    <col min="7" max="7" width="14.140625" customWidth="1"/>
    <col min="8" max="8" width="14.7109375" customWidth="1"/>
    <col min="9" max="9" width="14" customWidth="1"/>
    <col min="10" max="10" width="12.85546875" customWidth="1"/>
    <col min="11" max="11" width="14.42578125" customWidth="1"/>
    <col min="12" max="12" width="13.28515625" customWidth="1"/>
    <col min="13" max="13" width="13.140625" customWidth="1"/>
    <col min="14" max="15" width="15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2740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2739</v>
      </c>
      <c r="O1" t="s">
        <v>2741</v>
      </c>
    </row>
    <row r="2" spans="1:15" x14ac:dyDescent="0.25">
      <c r="A2" t="s">
        <v>12</v>
      </c>
      <c r="B2" t="s">
        <v>13</v>
      </c>
      <c r="C2" t="s">
        <v>14</v>
      </c>
      <c r="D2" t="s">
        <v>15</v>
      </c>
      <c r="E2">
        <v>30</v>
      </c>
      <c r="F2" t="str">
        <f>IF(E2&lt;=25,"Young Adult",IF(E2&lt;=40,"Adult",IF(E2&lt;=55,"Middle Age","Senior")))</f>
        <v>Adult</v>
      </c>
      <c r="G2" t="s">
        <v>16</v>
      </c>
      <c r="H2" t="s">
        <v>17</v>
      </c>
      <c r="I2" t="s">
        <v>18</v>
      </c>
      <c r="J2" t="s">
        <v>19</v>
      </c>
      <c r="K2">
        <v>7</v>
      </c>
      <c r="L2">
        <v>2829.77</v>
      </c>
      <c r="M2">
        <v>19808.39</v>
      </c>
      <c r="N2">
        <f>K2*L2</f>
        <v>19808.39</v>
      </c>
      <c r="O2" t="str">
        <f>IF(M2&lt;165000,"Low",IF(M2&lt;=330000,"Medium","High"))</f>
        <v>Low</v>
      </c>
    </row>
    <row r="3" spans="1:15" x14ac:dyDescent="0.25">
      <c r="A3" t="s">
        <v>20</v>
      </c>
      <c r="B3" t="s">
        <v>21</v>
      </c>
      <c r="C3" t="s">
        <v>22</v>
      </c>
      <c r="D3" t="s">
        <v>23</v>
      </c>
      <c r="E3">
        <v>63</v>
      </c>
      <c r="F3" t="str">
        <f t="shared" ref="F3:F66" si="0">IF(E3&lt;=25,"Young Adult",IF(E3&lt;=40,"Adult",IF(E3&lt;=55,"Middle Age","Senior")))</f>
        <v>Senior</v>
      </c>
      <c r="G3" t="s">
        <v>24</v>
      </c>
      <c r="H3" t="s">
        <v>17</v>
      </c>
      <c r="I3" t="s">
        <v>25</v>
      </c>
      <c r="J3" t="s">
        <v>26</v>
      </c>
      <c r="K3">
        <v>5</v>
      </c>
      <c r="L3">
        <v>27906.16</v>
      </c>
      <c r="M3">
        <v>139530.79999999999</v>
      </c>
      <c r="N3">
        <f t="shared" ref="N3:N66" si="1">K3*L3</f>
        <v>139530.79999999999</v>
      </c>
      <c r="O3" t="str">
        <f t="shared" ref="O3:O66" si="2">IF(M3&lt;165000,"Low",IF(M3&lt;=330000,"Medium","High"))</f>
        <v>Low</v>
      </c>
    </row>
    <row r="4" spans="1:15" x14ac:dyDescent="0.25">
      <c r="A4" t="s">
        <v>27</v>
      </c>
      <c r="B4" t="s">
        <v>28</v>
      </c>
      <c r="C4" t="s">
        <v>29</v>
      </c>
      <c r="D4" t="s">
        <v>30</v>
      </c>
      <c r="E4">
        <v>62</v>
      </c>
      <c r="F4" t="str">
        <f t="shared" si="0"/>
        <v>Senior</v>
      </c>
      <c r="G4" t="s">
        <v>16</v>
      </c>
      <c r="H4" t="s">
        <v>17</v>
      </c>
      <c r="I4" t="s">
        <v>25</v>
      </c>
      <c r="J4" t="s">
        <v>26</v>
      </c>
      <c r="K4">
        <v>8</v>
      </c>
      <c r="L4">
        <v>37491.06</v>
      </c>
      <c r="M4">
        <v>299928.48</v>
      </c>
      <c r="N4">
        <f t="shared" si="1"/>
        <v>299928.48</v>
      </c>
      <c r="O4" t="str">
        <f t="shared" si="2"/>
        <v>Medium</v>
      </c>
    </row>
    <row r="5" spans="1:15" x14ac:dyDescent="0.25">
      <c r="A5" t="s">
        <v>31</v>
      </c>
      <c r="B5" t="s">
        <v>32</v>
      </c>
      <c r="C5" t="s">
        <v>33</v>
      </c>
      <c r="D5" t="s">
        <v>34</v>
      </c>
      <c r="E5">
        <v>65</v>
      </c>
      <c r="F5" t="str">
        <f t="shared" si="0"/>
        <v>Senior</v>
      </c>
      <c r="G5" t="s">
        <v>16</v>
      </c>
      <c r="H5" t="s">
        <v>35</v>
      </c>
      <c r="I5" t="s">
        <v>36</v>
      </c>
      <c r="J5" t="s">
        <v>37</v>
      </c>
      <c r="K5">
        <v>9</v>
      </c>
      <c r="L5">
        <v>28541.360000000001</v>
      </c>
      <c r="M5">
        <v>256872.24</v>
      </c>
      <c r="N5">
        <f t="shared" si="1"/>
        <v>256872.24</v>
      </c>
      <c r="O5" t="str">
        <f t="shared" si="2"/>
        <v>Medium</v>
      </c>
    </row>
    <row r="6" spans="1:15" x14ac:dyDescent="0.25">
      <c r="A6" t="s">
        <v>38</v>
      </c>
      <c r="B6" t="s">
        <v>39</v>
      </c>
      <c r="C6" t="s">
        <v>40</v>
      </c>
      <c r="D6" t="s">
        <v>41</v>
      </c>
      <c r="E6">
        <v>44</v>
      </c>
      <c r="F6" t="str">
        <f t="shared" si="0"/>
        <v>Middle Age</v>
      </c>
      <c r="G6" t="s">
        <v>24</v>
      </c>
      <c r="H6" t="s">
        <v>17</v>
      </c>
      <c r="I6" t="s">
        <v>18</v>
      </c>
      <c r="J6" t="s">
        <v>19</v>
      </c>
      <c r="K6">
        <v>10</v>
      </c>
      <c r="L6">
        <v>14036.59</v>
      </c>
      <c r="M6">
        <v>140365.9</v>
      </c>
      <c r="N6">
        <f t="shared" si="1"/>
        <v>140365.9</v>
      </c>
      <c r="O6" t="str">
        <f t="shared" si="2"/>
        <v>Low</v>
      </c>
    </row>
    <row r="7" spans="1:15" x14ac:dyDescent="0.25">
      <c r="A7" t="s">
        <v>42</v>
      </c>
      <c r="B7" t="s">
        <v>43</v>
      </c>
      <c r="C7" t="s">
        <v>44</v>
      </c>
      <c r="D7" t="s">
        <v>45</v>
      </c>
      <c r="E7">
        <v>40</v>
      </c>
      <c r="F7" t="str">
        <f t="shared" si="0"/>
        <v>Adult</v>
      </c>
      <c r="G7" t="s">
        <v>16</v>
      </c>
      <c r="H7" t="s">
        <v>46</v>
      </c>
      <c r="I7" t="s">
        <v>47</v>
      </c>
      <c r="J7" t="s">
        <v>37</v>
      </c>
      <c r="K7">
        <v>9</v>
      </c>
      <c r="L7">
        <v>35947.47</v>
      </c>
      <c r="M7">
        <v>323527.23</v>
      </c>
      <c r="N7">
        <f t="shared" si="1"/>
        <v>323527.23</v>
      </c>
      <c r="O7" t="str">
        <f t="shared" si="2"/>
        <v>Medium</v>
      </c>
    </row>
    <row r="8" spans="1:15" x14ac:dyDescent="0.25">
      <c r="A8" t="s">
        <v>48</v>
      </c>
      <c r="B8" t="s">
        <v>21</v>
      </c>
      <c r="C8" t="s">
        <v>49</v>
      </c>
      <c r="D8" t="s">
        <v>50</v>
      </c>
      <c r="E8">
        <v>61</v>
      </c>
      <c r="F8" t="str">
        <f t="shared" si="0"/>
        <v>Senior</v>
      </c>
      <c r="G8" t="s">
        <v>24</v>
      </c>
      <c r="H8" t="s">
        <v>51</v>
      </c>
      <c r="I8" t="s">
        <v>36</v>
      </c>
      <c r="J8" t="s">
        <v>37</v>
      </c>
      <c r="K8">
        <v>6</v>
      </c>
      <c r="L8">
        <v>49997.53</v>
      </c>
      <c r="M8">
        <v>299985.18</v>
      </c>
      <c r="N8">
        <f t="shared" si="1"/>
        <v>299985.18</v>
      </c>
      <c r="O8" t="str">
        <f t="shared" si="2"/>
        <v>Medium</v>
      </c>
    </row>
    <row r="9" spans="1:15" x14ac:dyDescent="0.25">
      <c r="A9" t="s">
        <v>52</v>
      </c>
      <c r="B9" t="s">
        <v>53</v>
      </c>
      <c r="C9" t="s">
        <v>54</v>
      </c>
      <c r="D9" t="s">
        <v>55</v>
      </c>
      <c r="E9">
        <v>35</v>
      </c>
      <c r="F9" t="str">
        <f t="shared" si="0"/>
        <v>Adult</v>
      </c>
      <c r="G9" t="s">
        <v>24</v>
      </c>
      <c r="H9" t="s">
        <v>35</v>
      </c>
      <c r="I9" t="s">
        <v>47</v>
      </c>
      <c r="J9" t="s">
        <v>37</v>
      </c>
      <c r="K9">
        <v>3</v>
      </c>
      <c r="L9">
        <v>9488.83</v>
      </c>
      <c r="M9">
        <v>28466.49</v>
      </c>
      <c r="N9">
        <f t="shared" si="1"/>
        <v>28466.489999999998</v>
      </c>
      <c r="O9" t="str">
        <f t="shared" si="2"/>
        <v>Low</v>
      </c>
    </row>
    <row r="10" spans="1:15" x14ac:dyDescent="0.25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tr">
        <f t="shared" si="0"/>
        <v>Middle Age</v>
      </c>
      <c r="G10" t="s">
        <v>16</v>
      </c>
      <c r="H10" t="s">
        <v>60</v>
      </c>
      <c r="I10" t="s">
        <v>25</v>
      </c>
      <c r="J10" t="s">
        <v>26</v>
      </c>
      <c r="K10">
        <v>6</v>
      </c>
      <c r="L10">
        <v>19488.23</v>
      </c>
      <c r="M10">
        <v>116929.38</v>
      </c>
      <c r="N10">
        <f t="shared" si="1"/>
        <v>116929.38</v>
      </c>
      <c r="O10" t="str">
        <f t="shared" si="2"/>
        <v>Low</v>
      </c>
    </row>
    <row r="11" spans="1:15" x14ac:dyDescent="0.25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tr">
        <f t="shared" si="0"/>
        <v>Adult</v>
      </c>
      <c r="G11" t="s">
        <v>24</v>
      </c>
      <c r="H11" t="s">
        <v>35</v>
      </c>
      <c r="I11" t="s">
        <v>36</v>
      </c>
      <c r="J11" t="s">
        <v>37</v>
      </c>
      <c r="K11">
        <v>8</v>
      </c>
      <c r="L11">
        <v>18024.34</v>
      </c>
      <c r="M11">
        <v>144194.72</v>
      </c>
      <c r="N11">
        <f t="shared" si="1"/>
        <v>144194.72</v>
      </c>
      <c r="O11" t="str">
        <f t="shared" si="2"/>
        <v>Low</v>
      </c>
    </row>
    <row r="12" spans="1:15" x14ac:dyDescent="0.25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tr">
        <f t="shared" si="0"/>
        <v>Middle Age</v>
      </c>
      <c r="G12" t="s">
        <v>24</v>
      </c>
      <c r="H12" t="s">
        <v>69</v>
      </c>
      <c r="I12" t="s">
        <v>70</v>
      </c>
      <c r="J12" t="s">
        <v>71</v>
      </c>
      <c r="K12">
        <v>3</v>
      </c>
      <c r="L12">
        <v>14151.42</v>
      </c>
      <c r="M12">
        <v>42454.26</v>
      </c>
      <c r="N12">
        <f t="shared" si="1"/>
        <v>42454.26</v>
      </c>
      <c r="O12" t="str">
        <f t="shared" si="2"/>
        <v>Low</v>
      </c>
    </row>
    <row r="13" spans="1:15" x14ac:dyDescent="0.25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tr">
        <f t="shared" si="0"/>
        <v>Middle Age</v>
      </c>
      <c r="G13" t="s">
        <v>16</v>
      </c>
      <c r="H13" t="s">
        <v>51</v>
      </c>
      <c r="I13" t="s">
        <v>76</v>
      </c>
      <c r="J13" t="s">
        <v>77</v>
      </c>
      <c r="K13">
        <v>6</v>
      </c>
      <c r="L13">
        <v>47175.43</v>
      </c>
      <c r="M13">
        <v>283052.58</v>
      </c>
      <c r="N13">
        <f t="shared" si="1"/>
        <v>283052.58</v>
      </c>
      <c r="O13" t="str">
        <f t="shared" si="2"/>
        <v>Medium</v>
      </c>
    </row>
    <row r="14" spans="1:15" x14ac:dyDescent="0.25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tr">
        <f t="shared" si="0"/>
        <v>Adult</v>
      </c>
      <c r="G14" t="s">
        <v>24</v>
      </c>
      <c r="H14" t="s">
        <v>51</v>
      </c>
      <c r="I14" t="s">
        <v>18</v>
      </c>
      <c r="J14" t="s">
        <v>19</v>
      </c>
      <c r="K14">
        <v>5</v>
      </c>
      <c r="L14">
        <v>7413.68</v>
      </c>
      <c r="M14">
        <v>37068.400000000001</v>
      </c>
      <c r="N14">
        <f t="shared" si="1"/>
        <v>37068.400000000001</v>
      </c>
      <c r="O14" t="str">
        <f t="shared" si="2"/>
        <v>Low</v>
      </c>
    </row>
    <row r="15" spans="1:15" x14ac:dyDescent="0.25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tr">
        <f t="shared" si="0"/>
        <v>Middle Age</v>
      </c>
      <c r="G15" t="s">
        <v>16</v>
      </c>
      <c r="H15" t="s">
        <v>51</v>
      </c>
      <c r="I15" t="s">
        <v>70</v>
      </c>
      <c r="J15" t="s">
        <v>71</v>
      </c>
      <c r="K15">
        <v>8</v>
      </c>
      <c r="L15">
        <v>12042.52</v>
      </c>
      <c r="M15">
        <v>96340.160000000003</v>
      </c>
      <c r="N15">
        <f t="shared" si="1"/>
        <v>96340.160000000003</v>
      </c>
      <c r="O15" t="str">
        <f t="shared" si="2"/>
        <v>Low</v>
      </c>
    </row>
    <row r="16" spans="1:15" x14ac:dyDescent="0.25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tr">
        <f t="shared" si="0"/>
        <v>Middle Age</v>
      </c>
      <c r="G16" t="s">
        <v>16</v>
      </c>
      <c r="H16" t="s">
        <v>51</v>
      </c>
      <c r="I16" t="s">
        <v>36</v>
      </c>
      <c r="J16" t="s">
        <v>37</v>
      </c>
      <c r="K16">
        <v>8</v>
      </c>
      <c r="L16">
        <v>25465.31</v>
      </c>
      <c r="M16">
        <v>203722.48</v>
      </c>
      <c r="N16">
        <f t="shared" si="1"/>
        <v>203722.48</v>
      </c>
      <c r="O16" t="str">
        <f t="shared" si="2"/>
        <v>Medium</v>
      </c>
    </row>
    <row r="17" spans="1:15" x14ac:dyDescent="0.25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tr">
        <f t="shared" si="0"/>
        <v>Adult</v>
      </c>
      <c r="G17" t="s">
        <v>16</v>
      </c>
      <c r="H17" t="s">
        <v>69</v>
      </c>
      <c r="I17" t="s">
        <v>70</v>
      </c>
      <c r="J17" t="s">
        <v>71</v>
      </c>
      <c r="K17">
        <v>10</v>
      </c>
      <c r="L17">
        <v>20111.09</v>
      </c>
      <c r="M17">
        <v>201110.9</v>
      </c>
      <c r="N17">
        <f t="shared" si="1"/>
        <v>201110.9</v>
      </c>
      <c r="O17" t="str">
        <f t="shared" si="2"/>
        <v>Medium</v>
      </c>
    </row>
    <row r="18" spans="1:15" x14ac:dyDescent="0.25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tr">
        <f t="shared" si="0"/>
        <v>Adult</v>
      </c>
      <c r="G18" t="s">
        <v>16</v>
      </c>
      <c r="H18" t="s">
        <v>69</v>
      </c>
      <c r="I18" t="s">
        <v>25</v>
      </c>
      <c r="J18" t="s">
        <v>26</v>
      </c>
      <c r="K18">
        <v>10</v>
      </c>
      <c r="L18">
        <v>40109.120000000003</v>
      </c>
      <c r="M18">
        <v>401091.2</v>
      </c>
      <c r="N18">
        <f t="shared" si="1"/>
        <v>401091.2</v>
      </c>
      <c r="O18" t="str">
        <f t="shared" si="2"/>
        <v>High</v>
      </c>
    </row>
    <row r="19" spans="1:15" x14ac:dyDescent="0.25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tr">
        <f t="shared" si="0"/>
        <v>Adult</v>
      </c>
      <c r="G19" t="s">
        <v>24</v>
      </c>
      <c r="H19" t="s">
        <v>102</v>
      </c>
      <c r="I19" t="s">
        <v>70</v>
      </c>
      <c r="J19" t="s">
        <v>71</v>
      </c>
      <c r="K19">
        <v>1</v>
      </c>
      <c r="L19">
        <v>7280.64</v>
      </c>
      <c r="M19">
        <v>7280.64</v>
      </c>
      <c r="N19">
        <f t="shared" si="1"/>
        <v>7280.64</v>
      </c>
      <c r="O19" t="str">
        <f t="shared" si="2"/>
        <v>Low</v>
      </c>
    </row>
    <row r="20" spans="1:15" x14ac:dyDescent="0.25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tr">
        <f t="shared" si="0"/>
        <v>Senior</v>
      </c>
      <c r="G20" t="s">
        <v>16</v>
      </c>
      <c r="H20" t="s">
        <v>60</v>
      </c>
      <c r="I20" t="s">
        <v>76</v>
      </c>
      <c r="J20" t="s">
        <v>77</v>
      </c>
      <c r="K20">
        <v>5</v>
      </c>
      <c r="L20">
        <v>6122.59</v>
      </c>
      <c r="M20">
        <v>30612.95</v>
      </c>
      <c r="N20">
        <f t="shared" si="1"/>
        <v>30612.95</v>
      </c>
      <c r="O20" t="str">
        <f t="shared" si="2"/>
        <v>Low</v>
      </c>
    </row>
    <row r="21" spans="1:15" x14ac:dyDescent="0.25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tr">
        <f t="shared" si="0"/>
        <v>Adult</v>
      </c>
      <c r="G21" t="s">
        <v>24</v>
      </c>
      <c r="H21" t="s">
        <v>35</v>
      </c>
      <c r="I21" t="s">
        <v>47</v>
      </c>
      <c r="J21" t="s">
        <v>37</v>
      </c>
      <c r="K21">
        <v>8</v>
      </c>
      <c r="L21">
        <v>23770.36</v>
      </c>
      <c r="M21">
        <v>190162.88</v>
      </c>
      <c r="N21">
        <f t="shared" si="1"/>
        <v>190162.88</v>
      </c>
      <c r="O21" t="str">
        <f t="shared" si="2"/>
        <v>Medium</v>
      </c>
    </row>
    <row r="22" spans="1:15" x14ac:dyDescent="0.25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tr">
        <f t="shared" si="0"/>
        <v>Senior</v>
      </c>
      <c r="G22" t="s">
        <v>24</v>
      </c>
      <c r="H22" t="s">
        <v>115</v>
      </c>
      <c r="I22" t="s">
        <v>70</v>
      </c>
      <c r="J22" t="s">
        <v>71</v>
      </c>
      <c r="K22">
        <v>1</v>
      </c>
      <c r="L22">
        <v>2344.98</v>
      </c>
      <c r="M22">
        <v>2344.98</v>
      </c>
      <c r="N22">
        <f t="shared" si="1"/>
        <v>2344.98</v>
      </c>
      <c r="O22" t="str">
        <f t="shared" si="2"/>
        <v>Low</v>
      </c>
    </row>
    <row r="23" spans="1:15" x14ac:dyDescent="0.25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tr">
        <f t="shared" si="0"/>
        <v>Adult</v>
      </c>
      <c r="G23" t="s">
        <v>16</v>
      </c>
      <c r="H23" t="s">
        <v>60</v>
      </c>
      <c r="I23" t="s">
        <v>25</v>
      </c>
      <c r="J23" t="s">
        <v>26</v>
      </c>
      <c r="K23">
        <v>7</v>
      </c>
      <c r="L23">
        <v>15396.37</v>
      </c>
      <c r="M23">
        <v>107774.59</v>
      </c>
      <c r="N23">
        <f t="shared" si="1"/>
        <v>107774.59000000001</v>
      </c>
      <c r="O23" t="str">
        <f t="shared" si="2"/>
        <v>Low</v>
      </c>
    </row>
    <row r="24" spans="1:15" x14ac:dyDescent="0.25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tr">
        <f t="shared" si="0"/>
        <v>Middle Age</v>
      </c>
      <c r="G24" t="s">
        <v>24</v>
      </c>
      <c r="H24" t="s">
        <v>102</v>
      </c>
      <c r="I24" t="s">
        <v>70</v>
      </c>
      <c r="J24" t="s">
        <v>71</v>
      </c>
      <c r="K24">
        <v>10</v>
      </c>
      <c r="L24">
        <v>31576.5</v>
      </c>
      <c r="M24">
        <v>315765</v>
      </c>
      <c r="N24">
        <f t="shared" si="1"/>
        <v>315765</v>
      </c>
      <c r="O24" t="str">
        <f t="shared" si="2"/>
        <v>Medium</v>
      </c>
    </row>
    <row r="25" spans="1:15" x14ac:dyDescent="0.25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tr">
        <f t="shared" si="0"/>
        <v>Middle Age</v>
      </c>
      <c r="G25" t="s">
        <v>24</v>
      </c>
      <c r="H25" t="s">
        <v>51</v>
      </c>
      <c r="I25" t="s">
        <v>47</v>
      </c>
      <c r="J25" t="s">
        <v>37</v>
      </c>
      <c r="K25">
        <v>2</v>
      </c>
      <c r="L25">
        <v>11127.06</v>
      </c>
      <c r="M25">
        <v>22254.12</v>
      </c>
      <c r="N25">
        <f t="shared" si="1"/>
        <v>22254.12</v>
      </c>
      <c r="O25" t="str">
        <f t="shared" si="2"/>
        <v>Low</v>
      </c>
    </row>
    <row r="26" spans="1:15" x14ac:dyDescent="0.25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tr">
        <f t="shared" si="0"/>
        <v>Adult</v>
      </c>
      <c r="G26" t="s">
        <v>24</v>
      </c>
      <c r="H26" t="s">
        <v>115</v>
      </c>
      <c r="I26" t="s">
        <v>18</v>
      </c>
      <c r="J26" t="s">
        <v>19</v>
      </c>
      <c r="K26">
        <v>7</v>
      </c>
      <c r="L26">
        <v>36069.86</v>
      </c>
      <c r="M26">
        <v>252489.02</v>
      </c>
      <c r="N26">
        <f t="shared" si="1"/>
        <v>252489.02000000002</v>
      </c>
      <c r="O26" t="str">
        <f t="shared" si="2"/>
        <v>Medium</v>
      </c>
    </row>
    <row r="27" spans="1:15" x14ac:dyDescent="0.25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tr">
        <f t="shared" si="0"/>
        <v>Senior</v>
      </c>
      <c r="G27" t="s">
        <v>24</v>
      </c>
      <c r="H27" t="s">
        <v>60</v>
      </c>
      <c r="I27" t="s">
        <v>25</v>
      </c>
      <c r="J27" t="s">
        <v>26</v>
      </c>
      <c r="K27">
        <v>9</v>
      </c>
      <c r="L27">
        <v>39414.46</v>
      </c>
      <c r="M27">
        <v>354730.14</v>
      </c>
      <c r="N27">
        <f t="shared" si="1"/>
        <v>354730.14</v>
      </c>
      <c r="O27" t="str">
        <f t="shared" si="2"/>
        <v>High</v>
      </c>
    </row>
    <row r="28" spans="1:15" x14ac:dyDescent="0.25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tr">
        <f t="shared" si="0"/>
        <v>Adult</v>
      </c>
      <c r="G28" t="s">
        <v>16</v>
      </c>
      <c r="H28" t="s">
        <v>60</v>
      </c>
      <c r="I28" t="s">
        <v>18</v>
      </c>
      <c r="J28" t="s">
        <v>19</v>
      </c>
      <c r="K28">
        <v>2</v>
      </c>
      <c r="L28">
        <v>23837.41</v>
      </c>
      <c r="M28">
        <v>47674.82</v>
      </c>
      <c r="N28">
        <f t="shared" si="1"/>
        <v>47674.82</v>
      </c>
      <c r="O28" t="str">
        <f t="shared" si="2"/>
        <v>Low</v>
      </c>
    </row>
    <row r="29" spans="1:15" x14ac:dyDescent="0.25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tr">
        <f t="shared" si="0"/>
        <v>Adult</v>
      </c>
      <c r="G29" t="s">
        <v>16</v>
      </c>
      <c r="H29" t="s">
        <v>51</v>
      </c>
      <c r="I29" t="s">
        <v>47</v>
      </c>
      <c r="J29" t="s">
        <v>37</v>
      </c>
      <c r="K29">
        <v>5</v>
      </c>
      <c r="L29">
        <v>14534.79</v>
      </c>
      <c r="M29">
        <v>72673.95</v>
      </c>
      <c r="N29">
        <f t="shared" si="1"/>
        <v>72673.950000000012</v>
      </c>
      <c r="O29" t="str">
        <f t="shared" si="2"/>
        <v>Low</v>
      </c>
    </row>
    <row r="30" spans="1:15" x14ac:dyDescent="0.25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tr">
        <f t="shared" si="0"/>
        <v>Adult</v>
      </c>
      <c r="G30" t="s">
        <v>16</v>
      </c>
      <c r="H30" t="s">
        <v>17</v>
      </c>
      <c r="I30" t="s">
        <v>36</v>
      </c>
      <c r="J30" t="s">
        <v>37</v>
      </c>
      <c r="K30">
        <v>10</v>
      </c>
      <c r="L30">
        <v>21393.69</v>
      </c>
      <c r="M30">
        <v>213936.9</v>
      </c>
      <c r="N30">
        <f t="shared" si="1"/>
        <v>213936.9</v>
      </c>
      <c r="O30" t="str">
        <f t="shared" si="2"/>
        <v>Medium</v>
      </c>
    </row>
    <row r="31" spans="1:15" x14ac:dyDescent="0.25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tr">
        <f t="shared" si="0"/>
        <v>Adult</v>
      </c>
      <c r="G31" t="s">
        <v>24</v>
      </c>
      <c r="H31" t="s">
        <v>102</v>
      </c>
      <c r="I31" t="s">
        <v>18</v>
      </c>
      <c r="J31" t="s">
        <v>19</v>
      </c>
      <c r="K31">
        <v>2</v>
      </c>
      <c r="L31">
        <v>21382.16</v>
      </c>
      <c r="M31">
        <v>42764.32</v>
      </c>
      <c r="N31">
        <f t="shared" si="1"/>
        <v>42764.32</v>
      </c>
      <c r="O31" t="str">
        <f t="shared" si="2"/>
        <v>Low</v>
      </c>
    </row>
    <row r="32" spans="1:15" x14ac:dyDescent="0.25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tr">
        <f t="shared" si="0"/>
        <v>Adult</v>
      </c>
      <c r="G32" t="s">
        <v>16</v>
      </c>
      <c r="H32" t="s">
        <v>60</v>
      </c>
      <c r="I32" t="s">
        <v>36</v>
      </c>
      <c r="J32" t="s">
        <v>37</v>
      </c>
      <c r="K32">
        <v>1</v>
      </c>
      <c r="L32">
        <v>15831.03</v>
      </c>
      <c r="M32">
        <v>15831.03</v>
      </c>
      <c r="N32">
        <f t="shared" si="1"/>
        <v>15831.03</v>
      </c>
      <c r="O32" t="str">
        <f t="shared" si="2"/>
        <v>Low</v>
      </c>
    </row>
    <row r="33" spans="1:15" x14ac:dyDescent="0.25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tr">
        <f t="shared" si="0"/>
        <v>Young Adult</v>
      </c>
      <c r="G33" t="s">
        <v>16</v>
      </c>
      <c r="H33" t="s">
        <v>60</v>
      </c>
      <c r="I33" t="s">
        <v>25</v>
      </c>
      <c r="J33" t="s">
        <v>26</v>
      </c>
      <c r="K33">
        <v>8</v>
      </c>
      <c r="L33">
        <v>21791.66</v>
      </c>
      <c r="M33">
        <v>174333.28</v>
      </c>
      <c r="N33">
        <f t="shared" si="1"/>
        <v>174333.28</v>
      </c>
      <c r="O33" t="str">
        <f t="shared" si="2"/>
        <v>Medium</v>
      </c>
    </row>
    <row r="34" spans="1:15" x14ac:dyDescent="0.25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tr">
        <f t="shared" si="0"/>
        <v>Middle Age</v>
      </c>
      <c r="G34" t="s">
        <v>16</v>
      </c>
      <c r="H34" t="s">
        <v>60</v>
      </c>
      <c r="I34" t="s">
        <v>47</v>
      </c>
      <c r="J34" t="s">
        <v>37</v>
      </c>
      <c r="K34">
        <v>5</v>
      </c>
      <c r="L34">
        <v>17556.080000000002</v>
      </c>
      <c r="M34">
        <v>87780.4</v>
      </c>
      <c r="N34">
        <f t="shared" si="1"/>
        <v>87780.400000000009</v>
      </c>
      <c r="O34" t="str">
        <f t="shared" si="2"/>
        <v>Low</v>
      </c>
    </row>
    <row r="35" spans="1:15" x14ac:dyDescent="0.25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tr">
        <f t="shared" si="0"/>
        <v>Young Adult</v>
      </c>
      <c r="G35" t="s">
        <v>16</v>
      </c>
      <c r="H35" t="s">
        <v>102</v>
      </c>
      <c r="I35" t="s">
        <v>47</v>
      </c>
      <c r="J35" t="s">
        <v>37</v>
      </c>
      <c r="K35">
        <v>5</v>
      </c>
      <c r="L35">
        <v>46822.84</v>
      </c>
      <c r="M35">
        <v>234114.2</v>
      </c>
      <c r="N35">
        <f t="shared" si="1"/>
        <v>234114.19999999998</v>
      </c>
      <c r="O35" t="str">
        <f t="shared" si="2"/>
        <v>Medium</v>
      </c>
    </row>
    <row r="36" spans="1:15" x14ac:dyDescent="0.25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tr">
        <f t="shared" si="0"/>
        <v>Adult</v>
      </c>
      <c r="G36" t="s">
        <v>16</v>
      </c>
      <c r="H36" t="s">
        <v>102</v>
      </c>
      <c r="I36" t="s">
        <v>36</v>
      </c>
      <c r="J36" t="s">
        <v>37</v>
      </c>
      <c r="K36">
        <v>4</v>
      </c>
      <c r="L36">
        <v>47896.7</v>
      </c>
      <c r="M36">
        <v>191586.8</v>
      </c>
      <c r="N36">
        <f t="shared" si="1"/>
        <v>191586.8</v>
      </c>
      <c r="O36" t="str">
        <f t="shared" si="2"/>
        <v>Medium</v>
      </c>
    </row>
    <row r="37" spans="1:15" x14ac:dyDescent="0.25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tr">
        <f t="shared" si="0"/>
        <v>Middle Age</v>
      </c>
      <c r="G37" t="s">
        <v>24</v>
      </c>
      <c r="H37" t="s">
        <v>17</v>
      </c>
      <c r="I37" t="s">
        <v>47</v>
      </c>
      <c r="J37" t="s">
        <v>37</v>
      </c>
      <c r="K37">
        <v>8</v>
      </c>
      <c r="L37">
        <v>44911.49</v>
      </c>
      <c r="M37">
        <v>359291.92</v>
      </c>
      <c r="N37">
        <f t="shared" si="1"/>
        <v>359291.92</v>
      </c>
      <c r="O37" t="str">
        <f t="shared" si="2"/>
        <v>High</v>
      </c>
    </row>
    <row r="38" spans="1:15" x14ac:dyDescent="0.25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tr">
        <f t="shared" si="0"/>
        <v>Young Adult</v>
      </c>
      <c r="G38" t="s">
        <v>24</v>
      </c>
      <c r="H38" t="s">
        <v>69</v>
      </c>
      <c r="I38" t="s">
        <v>76</v>
      </c>
      <c r="J38" t="s">
        <v>77</v>
      </c>
      <c r="K38">
        <v>7</v>
      </c>
      <c r="L38">
        <v>40746.79</v>
      </c>
      <c r="M38">
        <v>285227.53000000003</v>
      </c>
      <c r="N38">
        <f t="shared" si="1"/>
        <v>285227.53000000003</v>
      </c>
      <c r="O38" t="str">
        <f t="shared" si="2"/>
        <v>Medium</v>
      </c>
    </row>
    <row r="39" spans="1:15" x14ac:dyDescent="0.25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tr">
        <f t="shared" si="0"/>
        <v>Adult</v>
      </c>
      <c r="G39" t="s">
        <v>24</v>
      </c>
      <c r="H39" t="s">
        <v>35</v>
      </c>
      <c r="I39" t="s">
        <v>18</v>
      </c>
      <c r="J39" t="s">
        <v>19</v>
      </c>
      <c r="K39">
        <v>4</v>
      </c>
      <c r="L39">
        <v>4794.08</v>
      </c>
      <c r="M39">
        <v>19176.32</v>
      </c>
      <c r="N39">
        <f t="shared" si="1"/>
        <v>19176.32</v>
      </c>
      <c r="O39" t="str">
        <f t="shared" si="2"/>
        <v>Low</v>
      </c>
    </row>
    <row r="40" spans="1:15" x14ac:dyDescent="0.25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tr">
        <f t="shared" si="0"/>
        <v>Senior</v>
      </c>
      <c r="G40" t="s">
        <v>16</v>
      </c>
      <c r="H40" t="s">
        <v>17</v>
      </c>
      <c r="I40" t="s">
        <v>70</v>
      </c>
      <c r="J40" t="s">
        <v>71</v>
      </c>
      <c r="K40">
        <v>8</v>
      </c>
      <c r="L40">
        <v>29270.98</v>
      </c>
      <c r="M40">
        <v>234167.84</v>
      </c>
      <c r="N40">
        <f t="shared" si="1"/>
        <v>234167.84</v>
      </c>
      <c r="O40" t="str">
        <f t="shared" si="2"/>
        <v>Medium</v>
      </c>
    </row>
    <row r="41" spans="1:15" x14ac:dyDescent="0.25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tr">
        <f t="shared" si="0"/>
        <v>Adult</v>
      </c>
      <c r="G41" t="s">
        <v>16</v>
      </c>
      <c r="H41" t="s">
        <v>60</v>
      </c>
      <c r="I41" t="s">
        <v>70</v>
      </c>
      <c r="J41" t="s">
        <v>71</v>
      </c>
      <c r="K41">
        <v>1</v>
      </c>
      <c r="L41">
        <v>3992.85</v>
      </c>
      <c r="M41">
        <v>3992.85</v>
      </c>
      <c r="N41">
        <f t="shared" si="1"/>
        <v>3992.85</v>
      </c>
      <c r="O41" t="str">
        <f t="shared" si="2"/>
        <v>Low</v>
      </c>
    </row>
    <row r="42" spans="1:15" x14ac:dyDescent="0.25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tr">
        <f t="shared" si="0"/>
        <v>Middle Age</v>
      </c>
      <c r="G42" t="s">
        <v>16</v>
      </c>
      <c r="H42" t="s">
        <v>46</v>
      </c>
      <c r="I42" t="s">
        <v>36</v>
      </c>
      <c r="J42" t="s">
        <v>37</v>
      </c>
      <c r="K42">
        <v>5</v>
      </c>
      <c r="L42">
        <v>44365.94</v>
      </c>
      <c r="M42">
        <v>221829.7</v>
      </c>
      <c r="N42">
        <f t="shared" si="1"/>
        <v>221829.7</v>
      </c>
      <c r="O42" t="str">
        <f t="shared" si="2"/>
        <v>Medium</v>
      </c>
    </row>
    <row r="43" spans="1:15" x14ac:dyDescent="0.25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tr">
        <f t="shared" si="0"/>
        <v>Middle Age</v>
      </c>
      <c r="G43" t="s">
        <v>16</v>
      </c>
      <c r="H43" t="s">
        <v>35</v>
      </c>
      <c r="I43" t="s">
        <v>36</v>
      </c>
      <c r="J43" t="s">
        <v>37</v>
      </c>
      <c r="K43">
        <v>4</v>
      </c>
      <c r="L43">
        <v>29915.72</v>
      </c>
      <c r="M43">
        <v>119662.88</v>
      </c>
      <c r="N43">
        <f t="shared" si="1"/>
        <v>119662.88</v>
      </c>
      <c r="O43" t="str">
        <f t="shared" si="2"/>
        <v>Low</v>
      </c>
    </row>
    <row r="44" spans="1:15" x14ac:dyDescent="0.25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tr">
        <f t="shared" si="0"/>
        <v>Senior</v>
      </c>
      <c r="G44" t="s">
        <v>24</v>
      </c>
      <c r="H44" t="s">
        <v>51</v>
      </c>
      <c r="I44" t="s">
        <v>76</v>
      </c>
      <c r="J44" t="s">
        <v>77</v>
      </c>
      <c r="K44">
        <v>6</v>
      </c>
      <c r="L44">
        <v>16521.439999999999</v>
      </c>
      <c r="M44">
        <v>99128.639999999999</v>
      </c>
      <c r="N44">
        <f t="shared" si="1"/>
        <v>99128.639999999985</v>
      </c>
      <c r="O44" t="str">
        <f t="shared" si="2"/>
        <v>Low</v>
      </c>
    </row>
    <row r="45" spans="1:15" x14ac:dyDescent="0.25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tr">
        <f t="shared" si="0"/>
        <v>Middle Age</v>
      </c>
      <c r="G45" t="s">
        <v>16</v>
      </c>
      <c r="H45" t="s">
        <v>17</v>
      </c>
      <c r="I45" t="s">
        <v>18</v>
      </c>
      <c r="J45" t="s">
        <v>19</v>
      </c>
      <c r="K45">
        <v>6</v>
      </c>
      <c r="L45">
        <v>14399.11</v>
      </c>
      <c r="M45">
        <v>86394.66</v>
      </c>
      <c r="N45">
        <f t="shared" si="1"/>
        <v>86394.66</v>
      </c>
      <c r="O45" t="str">
        <f t="shared" si="2"/>
        <v>Low</v>
      </c>
    </row>
    <row r="46" spans="1:15" x14ac:dyDescent="0.25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tr">
        <f t="shared" si="0"/>
        <v>Adult</v>
      </c>
      <c r="G46" t="s">
        <v>16</v>
      </c>
      <c r="H46" t="s">
        <v>46</v>
      </c>
      <c r="I46" t="s">
        <v>70</v>
      </c>
      <c r="J46" t="s">
        <v>71</v>
      </c>
      <c r="K46">
        <v>9</v>
      </c>
      <c r="L46">
        <v>1491.63</v>
      </c>
      <c r="M46">
        <v>13424.67</v>
      </c>
      <c r="N46">
        <f t="shared" si="1"/>
        <v>13424.670000000002</v>
      </c>
      <c r="O46" t="str">
        <f t="shared" si="2"/>
        <v>Low</v>
      </c>
    </row>
    <row r="47" spans="1:15" x14ac:dyDescent="0.25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tr">
        <f t="shared" si="0"/>
        <v>Adult</v>
      </c>
      <c r="G47" t="s">
        <v>24</v>
      </c>
      <c r="H47" t="s">
        <v>60</v>
      </c>
      <c r="I47" t="s">
        <v>18</v>
      </c>
      <c r="J47" t="s">
        <v>19</v>
      </c>
      <c r="K47">
        <v>2</v>
      </c>
      <c r="L47">
        <v>6210.24</v>
      </c>
      <c r="M47">
        <v>12420.48</v>
      </c>
      <c r="N47">
        <f t="shared" si="1"/>
        <v>12420.48</v>
      </c>
      <c r="O47" t="str">
        <f t="shared" si="2"/>
        <v>Low</v>
      </c>
    </row>
    <row r="48" spans="1:15" x14ac:dyDescent="0.25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tr">
        <f t="shared" si="0"/>
        <v>Middle Age</v>
      </c>
      <c r="G48" t="s">
        <v>16</v>
      </c>
      <c r="H48" t="s">
        <v>69</v>
      </c>
      <c r="I48" t="s">
        <v>36</v>
      </c>
      <c r="J48" t="s">
        <v>37</v>
      </c>
      <c r="K48">
        <v>2</v>
      </c>
      <c r="L48">
        <v>47649.61</v>
      </c>
      <c r="M48">
        <v>95299.22</v>
      </c>
      <c r="N48">
        <f t="shared" si="1"/>
        <v>95299.22</v>
      </c>
      <c r="O48" t="str">
        <f t="shared" si="2"/>
        <v>Low</v>
      </c>
    </row>
    <row r="49" spans="1:15" x14ac:dyDescent="0.25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tr">
        <f t="shared" si="0"/>
        <v>Middle Age</v>
      </c>
      <c r="G49" t="s">
        <v>24</v>
      </c>
      <c r="H49" t="s">
        <v>35</v>
      </c>
      <c r="I49" t="s">
        <v>36</v>
      </c>
      <c r="J49" t="s">
        <v>37</v>
      </c>
      <c r="K49">
        <v>5</v>
      </c>
      <c r="L49">
        <v>24854.05</v>
      </c>
      <c r="M49">
        <v>124270.25</v>
      </c>
      <c r="N49">
        <f t="shared" si="1"/>
        <v>124270.25</v>
      </c>
      <c r="O49" t="str">
        <f t="shared" si="2"/>
        <v>Low</v>
      </c>
    </row>
    <row r="50" spans="1:15" x14ac:dyDescent="0.25">
      <c r="A50" t="s">
        <v>222</v>
      </c>
      <c r="B50" t="s">
        <v>223</v>
      </c>
      <c r="C50" t="s">
        <v>224</v>
      </c>
      <c r="D50" t="s">
        <v>225</v>
      </c>
      <c r="E50">
        <v>41</v>
      </c>
      <c r="F50" t="str">
        <f t="shared" si="0"/>
        <v>Middle Age</v>
      </c>
      <c r="G50" t="s">
        <v>24</v>
      </c>
      <c r="H50" t="s">
        <v>115</v>
      </c>
      <c r="I50" t="s">
        <v>76</v>
      </c>
      <c r="J50" t="s">
        <v>77</v>
      </c>
      <c r="K50">
        <v>9</v>
      </c>
      <c r="L50">
        <v>30834.87</v>
      </c>
      <c r="M50">
        <v>277513.83</v>
      </c>
      <c r="N50">
        <f t="shared" si="1"/>
        <v>277513.83</v>
      </c>
      <c r="O50" t="str">
        <f t="shared" si="2"/>
        <v>Medium</v>
      </c>
    </row>
    <row r="51" spans="1:15" x14ac:dyDescent="0.25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tr">
        <f t="shared" si="0"/>
        <v>Adult</v>
      </c>
      <c r="G51" t="s">
        <v>16</v>
      </c>
      <c r="H51" t="s">
        <v>60</v>
      </c>
      <c r="I51" t="s">
        <v>76</v>
      </c>
      <c r="J51" t="s">
        <v>77</v>
      </c>
      <c r="K51">
        <v>6</v>
      </c>
      <c r="L51">
        <v>20561.97</v>
      </c>
      <c r="M51">
        <v>123371.82</v>
      </c>
      <c r="N51">
        <f t="shared" si="1"/>
        <v>123371.82</v>
      </c>
      <c r="O51" t="str">
        <f t="shared" si="2"/>
        <v>Low</v>
      </c>
    </row>
    <row r="52" spans="1:15" x14ac:dyDescent="0.25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tr">
        <f t="shared" si="0"/>
        <v>Senior</v>
      </c>
      <c r="G52" t="s">
        <v>24</v>
      </c>
      <c r="H52" t="s">
        <v>51</v>
      </c>
      <c r="I52" t="s">
        <v>25</v>
      </c>
      <c r="J52" t="s">
        <v>26</v>
      </c>
      <c r="K52">
        <v>10</v>
      </c>
      <c r="L52">
        <v>49367.75</v>
      </c>
      <c r="M52">
        <v>493677.5</v>
      </c>
      <c r="N52">
        <f t="shared" si="1"/>
        <v>493677.5</v>
      </c>
      <c r="O52" t="str">
        <f t="shared" si="2"/>
        <v>High</v>
      </c>
    </row>
    <row r="53" spans="1:15" x14ac:dyDescent="0.25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tr">
        <f t="shared" si="0"/>
        <v>Adult</v>
      </c>
      <c r="G53" t="s">
        <v>24</v>
      </c>
      <c r="H53" t="s">
        <v>69</v>
      </c>
      <c r="I53" t="s">
        <v>47</v>
      </c>
      <c r="J53" t="s">
        <v>37</v>
      </c>
      <c r="K53">
        <v>6</v>
      </c>
      <c r="L53">
        <v>4656.1000000000004</v>
      </c>
      <c r="M53">
        <v>27936.6</v>
      </c>
      <c r="N53">
        <f t="shared" si="1"/>
        <v>27936.600000000002</v>
      </c>
      <c r="O53" t="str">
        <f t="shared" si="2"/>
        <v>Low</v>
      </c>
    </row>
    <row r="54" spans="1:15" x14ac:dyDescent="0.25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tr">
        <f t="shared" si="0"/>
        <v>Senior</v>
      </c>
      <c r="G54" t="s">
        <v>24</v>
      </c>
      <c r="H54" t="s">
        <v>69</v>
      </c>
      <c r="I54" t="s">
        <v>18</v>
      </c>
      <c r="J54" t="s">
        <v>19</v>
      </c>
      <c r="K54">
        <v>7</v>
      </c>
      <c r="L54">
        <v>42345.82</v>
      </c>
      <c r="M54">
        <v>296420.74</v>
      </c>
      <c r="N54">
        <f t="shared" si="1"/>
        <v>296420.74</v>
      </c>
      <c r="O54" t="str">
        <f t="shared" si="2"/>
        <v>Medium</v>
      </c>
    </row>
    <row r="55" spans="1:15" x14ac:dyDescent="0.25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tr">
        <f t="shared" si="0"/>
        <v>Middle Age</v>
      </c>
      <c r="G55" t="s">
        <v>16</v>
      </c>
      <c r="H55" t="s">
        <v>115</v>
      </c>
      <c r="I55" t="s">
        <v>70</v>
      </c>
      <c r="J55" t="s">
        <v>71</v>
      </c>
      <c r="K55">
        <v>7</v>
      </c>
      <c r="L55">
        <v>37747.24</v>
      </c>
      <c r="M55">
        <v>264230.68</v>
      </c>
      <c r="N55">
        <f t="shared" si="1"/>
        <v>264230.68</v>
      </c>
      <c r="O55" t="str">
        <f t="shared" si="2"/>
        <v>Medium</v>
      </c>
    </row>
    <row r="56" spans="1:15" x14ac:dyDescent="0.25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tr">
        <f t="shared" si="0"/>
        <v>Adult</v>
      </c>
      <c r="G56" t="s">
        <v>24</v>
      </c>
      <c r="H56" t="s">
        <v>69</v>
      </c>
      <c r="I56" t="s">
        <v>25</v>
      </c>
      <c r="J56" t="s">
        <v>26</v>
      </c>
      <c r="K56">
        <v>2</v>
      </c>
      <c r="L56">
        <v>33304.17</v>
      </c>
      <c r="M56">
        <v>66608.34</v>
      </c>
      <c r="N56">
        <f t="shared" si="1"/>
        <v>66608.34</v>
      </c>
      <c r="O56" t="str">
        <f t="shared" si="2"/>
        <v>Low</v>
      </c>
    </row>
    <row r="57" spans="1:15" x14ac:dyDescent="0.25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tr">
        <f t="shared" si="0"/>
        <v>Senior</v>
      </c>
      <c r="G57" t="s">
        <v>16</v>
      </c>
      <c r="H57" t="s">
        <v>17</v>
      </c>
      <c r="I57" t="s">
        <v>47</v>
      </c>
      <c r="J57" t="s">
        <v>37</v>
      </c>
      <c r="K57">
        <v>6</v>
      </c>
      <c r="L57">
        <v>41157.440000000002</v>
      </c>
      <c r="M57">
        <v>246944.64000000001</v>
      </c>
      <c r="N57">
        <f t="shared" si="1"/>
        <v>246944.64000000001</v>
      </c>
      <c r="O57" t="str">
        <f t="shared" si="2"/>
        <v>Medium</v>
      </c>
    </row>
    <row r="58" spans="1:15" x14ac:dyDescent="0.25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tr">
        <f t="shared" si="0"/>
        <v>Young Adult</v>
      </c>
      <c r="G58" t="s">
        <v>16</v>
      </c>
      <c r="H58" t="s">
        <v>17</v>
      </c>
      <c r="I58" t="s">
        <v>76</v>
      </c>
      <c r="J58" t="s">
        <v>77</v>
      </c>
      <c r="K58">
        <v>7</v>
      </c>
      <c r="L58">
        <v>47669.63</v>
      </c>
      <c r="M58">
        <v>333687.40999999997</v>
      </c>
      <c r="N58">
        <f t="shared" si="1"/>
        <v>333687.40999999997</v>
      </c>
      <c r="O58" t="str">
        <f t="shared" si="2"/>
        <v>High</v>
      </c>
    </row>
    <row r="59" spans="1:15" x14ac:dyDescent="0.25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tr">
        <f t="shared" si="0"/>
        <v>Middle Age</v>
      </c>
      <c r="G59" t="s">
        <v>16</v>
      </c>
      <c r="H59" t="s">
        <v>17</v>
      </c>
      <c r="I59" t="s">
        <v>76</v>
      </c>
      <c r="J59" t="s">
        <v>77</v>
      </c>
      <c r="K59">
        <v>1</v>
      </c>
      <c r="L59">
        <v>44708.5</v>
      </c>
      <c r="M59">
        <v>44708.5</v>
      </c>
      <c r="N59">
        <f t="shared" si="1"/>
        <v>44708.5</v>
      </c>
      <c r="O59" t="str">
        <f t="shared" si="2"/>
        <v>Low</v>
      </c>
    </row>
    <row r="60" spans="1:15" x14ac:dyDescent="0.25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tr">
        <f t="shared" si="0"/>
        <v>Middle Age</v>
      </c>
      <c r="G60" t="s">
        <v>16</v>
      </c>
      <c r="H60" t="s">
        <v>60</v>
      </c>
      <c r="I60" t="s">
        <v>36</v>
      </c>
      <c r="J60" t="s">
        <v>37</v>
      </c>
      <c r="K60">
        <v>5</v>
      </c>
      <c r="L60">
        <v>36809.08</v>
      </c>
      <c r="M60">
        <v>184045.4</v>
      </c>
      <c r="N60">
        <f t="shared" si="1"/>
        <v>184045.40000000002</v>
      </c>
      <c r="O60" t="str">
        <f t="shared" si="2"/>
        <v>Medium</v>
      </c>
    </row>
    <row r="61" spans="1:15" x14ac:dyDescent="0.25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tr">
        <f t="shared" si="0"/>
        <v>Middle Age</v>
      </c>
      <c r="G61" t="s">
        <v>24</v>
      </c>
      <c r="H61" t="s">
        <v>115</v>
      </c>
      <c r="I61" t="s">
        <v>36</v>
      </c>
      <c r="J61" t="s">
        <v>37</v>
      </c>
      <c r="K61">
        <v>4</v>
      </c>
      <c r="L61">
        <v>25292.97</v>
      </c>
      <c r="M61">
        <v>101171.88</v>
      </c>
      <c r="N61">
        <f t="shared" si="1"/>
        <v>101171.88</v>
      </c>
      <c r="O61" t="str">
        <f t="shared" si="2"/>
        <v>Low</v>
      </c>
    </row>
    <row r="62" spans="1:15" x14ac:dyDescent="0.25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tr">
        <f t="shared" si="0"/>
        <v>Adult</v>
      </c>
      <c r="G62" t="s">
        <v>24</v>
      </c>
      <c r="H62" t="s">
        <v>60</v>
      </c>
      <c r="I62" t="s">
        <v>70</v>
      </c>
      <c r="J62" t="s">
        <v>71</v>
      </c>
      <c r="K62">
        <v>1</v>
      </c>
      <c r="L62">
        <v>29263.26</v>
      </c>
      <c r="M62">
        <v>29263.26</v>
      </c>
      <c r="N62">
        <f t="shared" si="1"/>
        <v>29263.26</v>
      </c>
      <c r="O62" t="str">
        <f t="shared" si="2"/>
        <v>Low</v>
      </c>
    </row>
    <row r="63" spans="1:15" x14ac:dyDescent="0.25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tr">
        <f t="shared" si="0"/>
        <v>Middle Age</v>
      </c>
      <c r="G63" t="s">
        <v>16</v>
      </c>
      <c r="H63" t="s">
        <v>35</v>
      </c>
      <c r="I63" t="s">
        <v>47</v>
      </c>
      <c r="J63" t="s">
        <v>37</v>
      </c>
      <c r="K63">
        <v>3</v>
      </c>
      <c r="L63">
        <v>5679.91</v>
      </c>
      <c r="M63">
        <v>17039.73</v>
      </c>
      <c r="N63">
        <f t="shared" si="1"/>
        <v>17039.73</v>
      </c>
      <c r="O63" t="str">
        <f t="shared" si="2"/>
        <v>Low</v>
      </c>
    </row>
    <row r="64" spans="1:15" x14ac:dyDescent="0.25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tr">
        <f t="shared" si="0"/>
        <v>Young Adult</v>
      </c>
      <c r="G64" t="s">
        <v>24</v>
      </c>
      <c r="H64" t="s">
        <v>46</v>
      </c>
      <c r="I64" t="s">
        <v>76</v>
      </c>
      <c r="J64" t="s">
        <v>77</v>
      </c>
      <c r="K64">
        <v>6</v>
      </c>
      <c r="L64">
        <v>46235.96</v>
      </c>
      <c r="M64">
        <v>277415.76</v>
      </c>
      <c r="N64">
        <f t="shared" si="1"/>
        <v>277415.76</v>
      </c>
      <c r="O64" t="str">
        <f t="shared" si="2"/>
        <v>Medium</v>
      </c>
    </row>
    <row r="65" spans="1:15" x14ac:dyDescent="0.25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tr">
        <f t="shared" si="0"/>
        <v>Middle Age</v>
      </c>
      <c r="G65" t="s">
        <v>24</v>
      </c>
      <c r="H65" t="s">
        <v>102</v>
      </c>
      <c r="I65" t="s">
        <v>18</v>
      </c>
      <c r="J65" t="s">
        <v>19</v>
      </c>
      <c r="K65">
        <v>9</v>
      </c>
      <c r="L65">
        <v>27164.06</v>
      </c>
      <c r="M65">
        <v>244476.54</v>
      </c>
      <c r="N65">
        <f t="shared" si="1"/>
        <v>244476.54</v>
      </c>
      <c r="O65" t="str">
        <f t="shared" si="2"/>
        <v>Medium</v>
      </c>
    </row>
    <row r="66" spans="1:15" x14ac:dyDescent="0.25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tr">
        <f t="shared" si="0"/>
        <v>Middle Age</v>
      </c>
      <c r="G66" t="s">
        <v>24</v>
      </c>
      <c r="H66" t="s">
        <v>35</v>
      </c>
      <c r="I66" t="s">
        <v>36</v>
      </c>
      <c r="J66" t="s">
        <v>37</v>
      </c>
      <c r="K66">
        <v>10</v>
      </c>
      <c r="L66">
        <v>8905.49</v>
      </c>
      <c r="M66">
        <v>89054.9</v>
      </c>
      <c r="N66">
        <f t="shared" si="1"/>
        <v>89054.9</v>
      </c>
      <c r="O66" t="str">
        <f t="shared" si="2"/>
        <v>Low</v>
      </c>
    </row>
    <row r="67" spans="1:15" x14ac:dyDescent="0.25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tr">
        <f t="shared" ref="F67:F130" si="3">IF(E67&lt;=25,"Young Adult",IF(E67&lt;=40,"Adult",IF(E67&lt;=55,"Middle Age","Senior")))</f>
        <v>Adult</v>
      </c>
      <c r="G67" t="s">
        <v>16</v>
      </c>
      <c r="H67" t="s">
        <v>51</v>
      </c>
      <c r="I67" t="s">
        <v>25</v>
      </c>
      <c r="J67" t="s">
        <v>26</v>
      </c>
      <c r="K67">
        <v>10</v>
      </c>
      <c r="L67">
        <v>17406.52</v>
      </c>
      <c r="M67">
        <v>174065.2</v>
      </c>
      <c r="N67">
        <f t="shared" ref="N67:N130" si="4">K67*L67</f>
        <v>174065.2</v>
      </c>
      <c r="O67" t="str">
        <f t="shared" ref="O67:O130" si="5">IF(M67&lt;165000,"Low",IF(M67&lt;=330000,"Medium","High"))</f>
        <v>Medium</v>
      </c>
    </row>
    <row r="68" spans="1:15" x14ac:dyDescent="0.25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tr">
        <f t="shared" si="3"/>
        <v>Adult</v>
      </c>
      <c r="G68" t="s">
        <v>16</v>
      </c>
      <c r="H68" t="s">
        <v>69</v>
      </c>
      <c r="I68" t="s">
        <v>76</v>
      </c>
      <c r="J68" t="s">
        <v>77</v>
      </c>
      <c r="K68">
        <v>5</v>
      </c>
      <c r="L68">
        <v>27366.58</v>
      </c>
      <c r="M68">
        <v>136832.9</v>
      </c>
      <c r="N68">
        <f t="shared" si="4"/>
        <v>136832.90000000002</v>
      </c>
      <c r="O68" t="str">
        <f t="shared" si="5"/>
        <v>Low</v>
      </c>
    </row>
    <row r="69" spans="1:15" x14ac:dyDescent="0.25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tr">
        <f t="shared" si="3"/>
        <v>Adult</v>
      </c>
      <c r="G69" t="s">
        <v>16</v>
      </c>
      <c r="H69" t="s">
        <v>46</v>
      </c>
      <c r="I69" t="s">
        <v>25</v>
      </c>
      <c r="J69" t="s">
        <v>26</v>
      </c>
      <c r="K69">
        <v>5</v>
      </c>
      <c r="L69">
        <v>41282.629999999997</v>
      </c>
      <c r="M69">
        <v>206413.15</v>
      </c>
      <c r="N69">
        <f t="shared" si="4"/>
        <v>206413.15</v>
      </c>
      <c r="O69" t="str">
        <f t="shared" si="5"/>
        <v>Medium</v>
      </c>
    </row>
    <row r="70" spans="1:15" x14ac:dyDescent="0.25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tr">
        <f t="shared" si="3"/>
        <v>Adult</v>
      </c>
      <c r="G70" t="s">
        <v>16</v>
      </c>
      <c r="H70" t="s">
        <v>69</v>
      </c>
      <c r="I70" t="s">
        <v>25</v>
      </c>
      <c r="J70" t="s">
        <v>26</v>
      </c>
      <c r="K70">
        <v>8</v>
      </c>
      <c r="L70">
        <v>13645.41</v>
      </c>
      <c r="M70">
        <v>109163.28</v>
      </c>
      <c r="N70">
        <f t="shared" si="4"/>
        <v>109163.28</v>
      </c>
      <c r="O70" t="str">
        <f t="shared" si="5"/>
        <v>Low</v>
      </c>
    </row>
    <row r="71" spans="1:15" x14ac:dyDescent="0.25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tr">
        <f t="shared" si="3"/>
        <v>Senior</v>
      </c>
      <c r="G71" t="s">
        <v>24</v>
      </c>
      <c r="H71" t="s">
        <v>51</v>
      </c>
      <c r="I71" t="s">
        <v>76</v>
      </c>
      <c r="J71" t="s">
        <v>77</v>
      </c>
      <c r="K71">
        <v>8</v>
      </c>
      <c r="L71">
        <v>27337.64</v>
      </c>
      <c r="M71">
        <v>218701.12</v>
      </c>
      <c r="N71">
        <f t="shared" si="4"/>
        <v>218701.12</v>
      </c>
      <c r="O71" t="str">
        <f t="shared" si="5"/>
        <v>Medium</v>
      </c>
    </row>
    <row r="72" spans="1:15" x14ac:dyDescent="0.25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tr">
        <f t="shared" si="3"/>
        <v>Middle Age</v>
      </c>
      <c r="G72" t="s">
        <v>16</v>
      </c>
      <c r="H72" t="s">
        <v>46</v>
      </c>
      <c r="I72" t="s">
        <v>70</v>
      </c>
      <c r="J72" t="s">
        <v>71</v>
      </c>
      <c r="K72">
        <v>5</v>
      </c>
      <c r="L72">
        <v>29219.72</v>
      </c>
      <c r="M72">
        <v>146098.6</v>
      </c>
      <c r="N72">
        <f t="shared" si="4"/>
        <v>146098.6</v>
      </c>
      <c r="O72" t="str">
        <f t="shared" si="5"/>
        <v>Low</v>
      </c>
    </row>
    <row r="73" spans="1:15" x14ac:dyDescent="0.25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tr">
        <f t="shared" si="3"/>
        <v>Middle Age</v>
      </c>
      <c r="G73" t="s">
        <v>24</v>
      </c>
      <c r="H73" t="s">
        <v>102</v>
      </c>
      <c r="I73" t="s">
        <v>18</v>
      </c>
      <c r="J73" t="s">
        <v>19</v>
      </c>
      <c r="K73">
        <v>3</v>
      </c>
      <c r="L73">
        <v>8572.65</v>
      </c>
      <c r="M73">
        <v>25717.95</v>
      </c>
      <c r="N73">
        <f t="shared" si="4"/>
        <v>25717.949999999997</v>
      </c>
      <c r="O73" t="str">
        <f t="shared" si="5"/>
        <v>Low</v>
      </c>
    </row>
    <row r="74" spans="1:15" x14ac:dyDescent="0.25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tr">
        <f t="shared" si="3"/>
        <v>Adult</v>
      </c>
      <c r="G74" t="s">
        <v>24</v>
      </c>
      <c r="H74" t="s">
        <v>115</v>
      </c>
      <c r="I74" t="s">
        <v>47</v>
      </c>
      <c r="J74" t="s">
        <v>37</v>
      </c>
      <c r="K74">
        <v>9</v>
      </c>
      <c r="L74">
        <v>45419.62</v>
      </c>
      <c r="M74">
        <v>408776.58</v>
      </c>
      <c r="N74">
        <f t="shared" si="4"/>
        <v>408776.58</v>
      </c>
      <c r="O74" t="str">
        <f t="shared" si="5"/>
        <v>High</v>
      </c>
    </row>
    <row r="75" spans="1:15" x14ac:dyDescent="0.25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tr">
        <f t="shared" si="3"/>
        <v>Senior</v>
      </c>
      <c r="G75" t="s">
        <v>24</v>
      </c>
      <c r="I75" t="s">
        <v>36</v>
      </c>
      <c r="J75" t="s">
        <v>37</v>
      </c>
      <c r="K75">
        <v>4</v>
      </c>
      <c r="L75">
        <v>21599.26</v>
      </c>
      <c r="M75">
        <v>86397.04</v>
      </c>
      <c r="N75">
        <f t="shared" si="4"/>
        <v>86397.04</v>
      </c>
      <c r="O75" t="str">
        <f t="shared" si="5"/>
        <v>Low</v>
      </c>
    </row>
    <row r="76" spans="1:15" x14ac:dyDescent="0.25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tr">
        <f t="shared" si="3"/>
        <v>Middle Age</v>
      </c>
      <c r="G76" t="s">
        <v>24</v>
      </c>
      <c r="H76" t="s">
        <v>102</v>
      </c>
      <c r="I76" t="s">
        <v>47</v>
      </c>
      <c r="J76" t="s">
        <v>37</v>
      </c>
      <c r="K76">
        <v>2</v>
      </c>
      <c r="L76">
        <v>8883.4500000000007</v>
      </c>
      <c r="M76">
        <v>17766.900000000001</v>
      </c>
      <c r="N76">
        <f t="shared" si="4"/>
        <v>17766.900000000001</v>
      </c>
      <c r="O76" t="str">
        <f t="shared" si="5"/>
        <v>Low</v>
      </c>
    </row>
    <row r="77" spans="1:15" x14ac:dyDescent="0.25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tr">
        <f t="shared" si="3"/>
        <v>Young Adult</v>
      </c>
      <c r="G77" t="s">
        <v>16</v>
      </c>
      <c r="H77" t="s">
        <v>17</v>
      </c>
      <c r="I77" t="s">
        <v>70</v>
      </c>
      <c r="J77" t="s">
        <v>71</v>
      </c>
      <c r="K77">
        <v>9</v>
      </c>
      <c r="L77">
        <v>12290.45</v>
      </c>
      <c r="M77">
        <v>110614.05</v>
      </c>
      <c r="N77">
        <f t="shared" si="4"/>
        <v>110614.05</v>
      </c>
      <c r="O77" t="str">
        <f t="shared" si="5"/>
        <v>Low</v>
      </c>
    </row>
    <row r="78" spans="1:15" x14ac:dyDescent="0.25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tr">
        <f t="shared" si="3"/>
        <v>Senior</v>
      </c>
      <c r="G78" t="s">
        <v>16</v>
      </c>
      <c r="H78" t="s">
        <v>51</v>
      </c>
      <c r="I78" t="s">
        <v>25</v>
      </c>
      <c r="J78" t="s">
        <v>26</v>
      </c>
      <c r="K78">
        <v>6</v>
      </c>
      <c r="L78">
        <v>10784.64</v>
      </c>
      <c r="M78">
        <v>64707.839999999997</v>
      </c>
      <c r="N78">
        <f t="shared" si="4"/>
        <v>64707.839999999997</v>
      </c>
      <c r="O78" t="str">
        <f t="shared" si="5"/>
        <v>Low</v>
      </c>
    </row>
    <row r="79" spans="1:15" x14ac:dyDescent="0.25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tr">
        <f t="shared" si="3"/>
        <v>Senior</v>
      </c>
      <c r="G79" t="s">
        <v>16</v>
      </c>
      <c r="H79" t="s">
        <v>69</v>
      </c>
      <c r="I79" t="s">
        <v>18</v>
      </c>
      <c r="J79" t="s">
        <v>19</v>
      </c>
      <c r="K79">
        <v>1</v>
      </c>
      <c r="L79">
        <v>35862.339999999997</v>
      </c>
      <c r="M79">
        <v>35862.339999999997</v>
      </c>
      <c r="N79">
        <f t="shared" si="4"/>
        <v>35862.339999999997</v>
      </c>
      <c r="O79" t="str">
        <f t="shared" si="5"/>
        <v>Low</v>
      </c>
    </row>
    <row r="80" spans="1:15" x14ac:dyDescent="0.25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tr">
        <f t="shared" si="3"/>
        <v>Senior</v>
      </c>
      <c r="G80" t="s">
        <v>16</v>
      </c>
      <c r="H80" t="s">
        <v>102</v>
      </c>
      <c r="I80" t="s">
        <v>18</v>
      </c>
      <c r="J80" t="s">
        <v>19</v>
      </c>
      <c r="K80">
        <v>1</v>
      </c>
      <c r="L80">
        <v>13129.64</v>
      </c>
      <c r="M80">
        <v>13129.64</v>
      </c>
      <c r="N80">
        <f t="shared" si="4"/>
        <v>13129.64</v>
      </c>
      <c r="O80" t="str">
        <f t="shared" si="5"/>
        <v>Low</v>
      </c>
    </row>
    <row r="81" spans="1:15" x14ac:dyDescent="0.25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tr">
        <f t="shared" si="3"/>
        <v>Young Adult</v>
      </c>
      <c r="G81" t="s">
        <v>16</v>
      </c>
      <c r="H81" t="s">
        <v>102</v>
      </c>
      <c r="I81" t="s">
        <v>76</v>
      </c>
      <c r="J81" t="s">
        <v>77</v>
      </c>
      <c r="K81">
        <v>9</v>
      </c>
      <c r="L81">
        <v>45747.37</v>
      </c>
      <c r="M81">
        <v>411726.33</v>
      </c>
      <c r="N81">
        <f t="shared" si="4"/>
        <v>411726.33</v>
      </c>
      <c r="O81" t="str">
        <f t="shared" si="5"/>
        <v>High</v>
      </c>
    </row>
    <row r="82" spans="1:15" x14ac:dyDescent="0.25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tr">
        <f t="shared" si="3"/>
        <v>Young Adult</v>
      </c>
      <c r="G82" t="s">
        <v>16</v>
      </c>
      <c r="H82" t="s">
        <v>46</v>
      </c>
      <c r="I82" t="s">
        <v>25</v>
      </c>
      <c r="J82" t="s">
        <v>26</v>
      </c>
      <c r="K82">
        <v>6</v>
      </c>
      <c r="L82">
        <v>5849.89</v>
      </c>
      <c r="M82">
        <v>35099.339999999997</v>
      </c>
      <c r="N82">
        <f t="shared" si="4"/>
        <v>35099.340000000004</v>
      </c>
      <c r="O82" t="str">
        <f t="shared" si="5"/>
        <v>Low</v>
      </c>
    </row>
    <row r="83" spans="1:15" x14ac:dyDescent="0.25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tr">
        <f t="shared" si="3"/>
        <v>Adult</v>
      </c>
      <c r="G83" t="s">
        <v>24</v>
      </c>
      <c r="H83" t="s">
        <v>46</v>
      </c>
      <c r="I83" t="s">
        <v>47</v>
      </c>
      <c r="J83" t="s">
        <v>37</v>
      </c>
      <c r="K83">
        <v>9</v>
      </c>
      <c r="L83">
        <v>48845.5</v>
      </c>
      <c r="M83">
        <v>439609.5</v>
      </c>
      <c r="N83">
        <f t="shared" si="4"/>
        <v>439609.5</v>
      </c>
      <c r="O83" t="str">
        <f t="shared" si="5"/>
        <v>High</v>
      </c>
    </row>
    <row r="84" spans="1:15" x14ac:dyDescent="0.25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tr">
        <f t="shared" si="3"/>
        <v>Adult</v>
      </c>
      <c r="G84" t="s">
        <v>24</v>
      </c>
      <c r="H84" t="s">
        <v>102</v>
      </c>
      <c r="I84" t="s">
        <v>25</v>
      </c>
      <c r="J84" t="s">
        <v>26</v>
      </c>
      <c r="K84">
        <v>9</v>
      </c>
      <c r="L84">
        <v>24828.05</v>
      </c>
      <c r="M84">
        <v>223452.45</v>
      </c>
      <c r="N84">
        <f t="shared" si="4"/>
        <v>223452.44999999998</v>
      </c>
      <c r="O84" t="str">
        <f t="shared" si="5"/>
        <v>Medium</v>
      </c>
    </row>
    <row r="85" spans="1:15" x14ac:dyDescent="0.25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tr">
        <f t="shared" si="3"/>
        <v>Senior</v>
      </c>
      <c r="G85" t="s">
        <v>24</v>
      </c>
      <c r="H85" t="s">
        <v>69</v>
      </c>
      <c r="I85" t="s">
        <v>36</v>
      </c>
      <c r="J85" t="s">
        <v>37</v>
      </c>
      <c r="K85">
        <v>8</v>
      </c>
      <c r="L85">
        <v>17841.400000000001</v>
      </c>
      <c r="M85">
        <v>142731.20000000001</v>
      </c>
      <c r="N85">
        <f t="shared" si="4"/>
        <v>142731.20000000001</v>
      </c>
      <c r="O85" t="str">
        <f t="shared" si="5"/>
        <v>Low</v>
      </c>
    </row>
    <row r="86" spans="1:15" x14ac:dyDescent="0.25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tr">
        <f t="shared" si="3"/>
        <v>Middle Age</v>
      </c>
      <c r="G86" t="s">
        <v>24</v>
      </c>
      <c r="H86" t="s">
        <v>46</v>
      </c>
      <c r="I86" t="s">
        <v>25</v>
      </c>
      <c r="J86" t="s">
        <v>26</v>
      </c>
      <c r="K86">
        <v>10</v>
      </c>
      <c r="L86">
        <v>13662.66</v>
      </c>
      <c r="M86">
        <v>136626.6</v>
      </c>
      <c r="N86">
        <f t="shared" si="4"/>
        <v>136626.6</v>
      </c>
      <c r="O86" t="str">
        <f t="shared" si="5"/>
        <v>Low</v>
      </c>
    </row>
    <row r="87" spans="1:15" x14ac:dyDescent="0.25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tr">
        <f t="shared" si="3"/>
        <v>Senior</v>
      </c>
      <c r="G87" t="s">
        <v>24</v>
      </c>
      <c r="H87" t="s">
        <v>60</v>
      </c>
      <c r="I87" t="s">
        <v>25</v>
      </c>
      <c r="J87" t="s">
        <v>26</v>
      </c>
      <c r="K87">
        <v>4</v>
      </c>
      <c r="L87">
        <v>12169.49</v>
      </c>
      <c r="M87">
        <v>48677.96</v>
      </c>
      <c r="N87">
        <f t="shared" si="4"/>
        <v>48677.96</v>
      </c>
      <c r="O87" t="str">
        <f t="shared" si="5"/>
        <v>Low</v>
      </c>
    </row>
    <row r="88" spans="1:15" x14ac:dyDescent="0.25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tr">
        <f t="shared" si="3"/>
        <v>Senior</v>
      </c>
      <c r="G88" t="s">
        <v>16</v>
      </c>
      <c r="H88" t="s">
        <v>35</v>
      </c>
      <c r="I88" t="s">
        <v>36</v>
      </c>
      <c r="J88" t="s">
        <v>37</v>
      </c>
      <c r="K88">
        <v>6</v>
      </c>
      <c r="L88">
        <v>349.06</v>
      </c>
      <c r="M88">
        <v>2094.36</v>
      </c>
      <c r="N88">
        <f t="shared" si="4"/>
        <v>2094.36</v>
      </c>
      <c r="O88" t="str">
        <f t="shared" si="5"/>
        <v>Low</v>
      </c>
    </row>
    <row r="89" spans="1:15" x14ac:dyDescent="0.25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tr">
        <f t="shared" si="3"/>
        <v>Middle Age</v>
      </c>
      <c r="G89" t="s">
        <v>16</v>
      </c>
      <c r="H89" t="s">
        <v>69</v>
      </c>
      <c r="I89" t="s">
        <v>47</v>
      </c>
      <c r="J89" t="s">
        <v>37</v>
      </c>
      <c r="K89">
        <v>8</v>
      </c>
      <c r="L89">
        <v>20498.740000000002</v>
      </c>
      <c r="M89">
        <v>163989.92000000001</v>
      </c>
      <c r="N89">
        <f t="shared" si="4"/>
        <v>163989.92000000001</v>
      </c>
      <c r="O89" t="str">
        <f t="shared" si="5"/>
        <v>Low</v>
      </c>
    </row>
    <row r="90" spans="1:15" x14ac:dyDescent="0.25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tr">
        <f t="shared" si="3"/>
        <v>Young Adult</v>
      </c>
      <c r="G90" t="s">
        <v>16</v>
      </c>
      <c r="H90" t="s">
        <v>46</v>
      </c>
      <c r="I90" t="s">
        <v>25</v>
      </c>
      <c r="J90" t="s">
        <v>26</v>
      </c>
      <c r="K90">
        <v>9</v>
      </c>
      <c r="L90">
        <v>13111.39</v>
      </c>
      <c r="M90">
        <v>118002.51</v>
      </c>
      <c r="N90">
        <f t="shared" si="4"/>
        <v>118002.51</v>
      </c>
      <c r="O90" t="str">
        <f t="shared" si="5"/>
        <v>Low</v>
      </c>
    </row>
    <row r="91" spans="1:15" x14ac:dyDescent="0.25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tr">
        <f t="shared" si="3"/>
        <v>Adult</v>
      </c>
      <c r="G91" t="s">
        <v>24</v>
      </c>
      <c r="H91" t="s">
        <v>60</v>
      </c>
      <c r="I91" t="s">
        <v>18</v>
      </c>
      <c r="J91" t="s">
        <v>19</v>
      </c>
      <c r="K91">
        <v>9</v>
      </c>
      <c r="L91">
        <v>45000.49</v>
      </c>
      <c r="M91">
        <v>405004.41</v>
      </c>
      <c r="N91">
        <f t="shared" si="4"/>
        <v>405004.41</v>
      </c>
      <c r="O91" t="str">
        <f t="shared" si="5"/>
        <v>High</v>
      </c>
    </row>
    <row r="92" spans="1:15" x14ac:dyDescent="0.25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tr">
        <f t="shared" si="3"/>
        <v>Middle Age</v>
      </c>
      <c r="G92" t="s">
        <v>24</v>
      </c>
      <c r="H92" t="s">
        <v>35</v>
      </c>
      <c r="I92" t="s">
        <v>47</v>
      </c>
      <c r="J92" t="s">
        <v>37</v>
      </c>
      <c r="K92">
        <v>2</v>
      </c>
      <c r="L92">
        <v>3455.06</v>
      </c>
      <c r="M92">
        <v>6910.12</v>
      </c>
      <c r="N92">
        <f t="shared" si="4"/>
        <v>6910.12</v>
      </c>
      <c r="O92" t="str">
        <f t="shared" si="5"/>
        <v>Low</v>
      </c>
    </row>
    <row r="93" spans="1:15" x14ac:dyDescent="0.25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tr">
        <f t="shared" si="3"/>
        <v>Young Adult</v>
      </c>
      <c r="G93" t="s">
        <v>24</v>
      </c>
      <c r="H93" t="s">
        <v>115</v>
      </c>
      <c r="I93" t="s">
        <v>70</v>
      </c>
      <c r="J93" t="s">
        <v>71</v>
      </c>
      <c r="K93">
        <v>8</v>
      </c>
      <c r="L93">
        <v>28874.639999999999</v>
      </c>
      <c r="M93">
        <v>230997.12</v>
      </c>
      <c r="N93">
        <f t="shared" si="4"/>
        <v>230997.12</v>
      </c>
      <c r="O93" t="str">
        <f t="shared" si="5"/>
        <v>Medium</v>
      </c>
    </row>
    <row r="94" spans="1:15" x14ac:dyDescent="0.25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tr">
        <f t="shared" si="3"/>
        <v>Adult</v>
      </c>
      <c r="G94" t="s">
        <v>24</v>
      </c>
      <c r="H94" t="s">
        <v>69</v>
      </c>
      <c r="I94" t="s">
        <v>70</v>
      </c>
      <c r="J94" t="s">
        <v>71</v>
      </c>
      <c r="K94">
        <v>3</v>
      </c>
      <c r="L94">
        <v>47917.49</v>
      </c>
      <c r="M94">
        <v>143752.47</v>
      </c>
      <c r="N94">
        <f t="shared" si="4"/>
        <v>143752.47</v>
      </c>
      <c r="O94" t="str">
        <f t="shared" si="5"/>
        <v>Low</v>
      </c>
    </row>
    <row r="95" spans="1:15" x14ac:dyDescent="0.25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tr">
        <f t="shared" si="3"/>
        <v>Middle Age</v>
      </c>
      <c r="G95" t="s">
        <v>24</v>
      </c>
      <c r="H95" t="s">
        <v>17</v>
      </c>
      <c r="I95" t="s">
        <v>18</v>
      </c>
      <c r="J95" t="s">
        <v>19</v>
      </c>
      <c r="K95">
        <v>10</v>
      </c>
      <c r="L95">
        <v>21399.51</v>
      </c>
      <c r="M95">
        <v>213995.1</v>
      </c>
      <c r="N95">
        <f t="shared" si="4"/>
        <v>213995.09999999998</v>
      </c>
      <c r="O95" t="str">
        <f t="shared" si="5"/>
        <v>Medium</v>
      </c>
    </row>
    <row r="96" spans="1:15" x14ac:dyDescent="0.25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tr">
        <f t="shared" si="3"/>
        <v>Adult</v>
      </c>
      <c r="G96" t="s">
        <v>24</v>
      </c>
      <c r="H96" t="s">
        <v>46</v>
      </c>
      <c r="I96" t="s">
        <v>18</v>
      </c>
      <c r="J96" t="s">
        <v>19</v>
      </c>
      <c r="K96">
        <v>5</v>
      </c>
      <c r="L96">
        <v>15127.88</v>
      </c>
      <c r="M96">
        <v>75639.399999999994</v>
      </c>
      <c r="N96">
        <f t="shared" si="4"/>
        <v>75639.399999999994</v>
      </c>
      <c r="O96" t="str">
        <f t="shared" si="5"/>
        <v>Low</v>
      </c>
    </row>
    <row r="97" spans="1:15" x14ac:dyDescent="0.25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tr">
        <f t="shared" si="3"/>
        <v>Senior</v>
      </c>
      <c r="G97" t="s">
        <v>16</v>
      </c>
      <c r="H97" t="s">
        <v>60</v>
      </c>
      <c r="I97" t="s">
        <v>70</v>
      </c>
      <c r="J97" t="s">
        <v>71</v>
      </c>
      <c r="K97">
        <v>7</v>
      </c>
      <c r="L97">
        <v>41677.339999999997</v>
      </c>
      <c r="M97">
        <v>291741.38</v>
      </c>
      <c r="N97">
        <f t="shared" si="4"/>
        <v>291741.38</v>
      </c>
      <c r="O97" t="str">
        <f t="shared" si="5"/>
        <v>Medium</v>
      </c>
    </row>
    <row r="98" spans="1:15" x14ac:dyDescent="0.25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tr">
        <f t="shared" si="3"/>
        <v>Adult</v>
      </c>
      <c r="G98" t="s">
        <v>24</v>
      </c>
      <c r="H98" t="s">
        <v>46</v>
      </c>
      <c r="I98" t="s">
        <v>36</v>
      </c>
      <c r="J98" t="s">
        <v>37</v>
      </c>
      <c r="K98">
        <v>10</v>
      </c>
      <c r="L98">
        <v>40745.550000000003</v>
      </c>
      <c r="M98">
        <v>407455.5</v>
      </c>
      <c r="N98">
        <f t="shared" si="4"/>
        <v>407455.5</v>
      </c>
      <c r="O98" t="str">
        <f t="shared" si="5"/>
        <v>High</v>
      </c>
    </row>
    <row r="99" spans="1:15" x14ac:dyDescent="0.25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tr">
        <f t="shared" si="3"/>
        <v>Middle Age</v>
      </c>
      <c r="G99" t="s">
        <v>24</v>
      </c>
      <c r="H99" t="s">
        <v>102</v>
      </c>
      <c r="I99" t="s">
        <v>36</v>
      </c>
      <c r="J99" t="s">
        <v>37</v>
      </c>
      <c r="K99">
        <v>2</v>
      </c>
      <c r="L99">
        <v>31217.119999999999</v>
      </c>
      <c r="M99">
        <v>62434.239999999998</v>
      </c>
      <c r="N99">
        <f t="shared" si="4"/>
        <v>62434.239999999998</v>
      </c>
      <c r="O99" t="str">
        <f t="shared" si="5"/>
        <v>Low</v>
      </c>
    </row>
    <row r="100" spans="1:15" x14ac:dyDescent="0.25">
      <c r="A100" t="s">
        <v>409</v>
      </c>
      <c r="B100" t="s">
        <v>410</v>
      </c>
      <c r="C100" t="s">
        <v>411</v>
      </c>
      <c r="D100" t="s">
        <v>412</v>
      </c>
      <c r="E100">
        <v>41</v>
      </c>
      <c r="F100" t="str">
        <f t="shared" si="3"/>
        <v>Middle Age</v>
      </c>
      <c r="G100" t="s">
        <v>24</v>
      </c>
      <c r="H100" t="s">
        <v>51</v>
      </c>
      <c r="I100" t="s">
        <v>47</v>
      </c>
      <c r="J100" t="s">
        <v>37</v>
      </c>
      <c r="K100">
        <v>5</v>
      </c>
      <c r="L100">
        <v>553.62</v>
      </c>
      <c r="M100">
        <v>2768.1</v>
      </c>
      <c r="N100">
        <f t="shared" si="4"/>
        <v>2768.1</v>
      </c>
      <c r="O100" t="str">
        <f t="shared" si="5"/>
        <v>Low</v>
      </c>
    </row>
    <row r="101" spans="1:15" x14ac:dyDescent="0.25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tr">
        <f t="shared" si="3"/>
        <v>Middle Age</v>
      </c>
      <c r="G101" t="s">
        <v>24</v>
      </c>
      <c r="H101" t="s">
        <v>115</v>
      </c>
      <c r="I101" t="s">
        <v>18</v>
      </c>
      <c r="J101" t="s">
        <v>19</v>
      </c>
      <c r="K101">
        <v>4</v>
      </c>
      <c r="L101">
        <v>6974.66</v>
      </c>
      <c r="M101">
        <v>27898.639999999999</v>
      </c>
      <c r="N101">
        <f t="shared" si="4"/>
        <v>27898.639999999999</v>
      </c>
      <c r="O101" t="str">
        <f t="shared" si="5"/>
        <v>Low</v>
      </c>
    </row>
    <row r="102" spans="1:15" x14ac:dyDescent="0.25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tr">
        <f t="shared" si="3"/>
        <v>Young Adult</v>
      </c>
      <c r="G102" t="s">
        <v>16</v>
      </c>
      <c r="H102" t="s">
        <v>35</v>
      </c>
      <c r="I102" t="s">
        <v>25</v>
      </c>
      <c r="J102" t="s">
        <v>26</v>
      </c>
      <c r="K102">
        <v>9</v>
      </c>
      <c r="L102">
        <v>19437.88</v>
      </c>
      <c r="M102">
        <v>174940.92</v>
      </c>
      <c r="N102">
        <f t="shared" si="4"/>
        <v>174940.92</v>
      </c>
      <c r="O102" t="str">
        <f t="shared" si="5"/>
        <v>Medium</v>
      </c>
    </row>
    <row r="103" spans="1:15" x14ac:dyDescent="0.25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tr">
        <f t="shared" si="3"/>
        <v>Middle Age</v>
      </c>
      <c r="G103" t="s">
        <v>16</v>
      </c>
      <c r="H103" t="s">
        <v>60</v>
      </c>
      <c r="I103" t="s">
        <v>47</v>
      </c>
      <c r="J103" t="s">
        <v>37</v>
      </c>
      <c r="K103">
        <v>9</v>
      </c>
      <c r="L103">
        <v>13617.93</v>
      </c>
      <c r="M103">
        <v>122561.37</v>
      </c>
      <c r="N103">
        <f t="shared" si="4"/>
        <v>122561.37</v>
      </c>
      <c r="O103" t="str">
        <f t="shared" si="5"/>
        <v>Low</v>
      </c>
    </row>
    <row r="104" spans="1:15" x14ac:dyDescent="0.25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tr">
        <f t="shared" si="3"/>
        <v>Middle Age</v>
      </c>
      <c r="G104" t="s">
        <v>24</v>
      </c>
      <c r="H104" t="s">
        <v>102</v>
      </c>
      <c r="I104" t="s">
        <v>76</v>
      </c>
      <c r="J104" t="s">
        <v>77</v>
      </c>
      <c r="K104">
        <v>8</v>
      </c>
      <c r="L104">
        <v>38897.58</v>
      </c>
      <c r="M104">
        <v>311180.64</v>
      </c>
      <c r="N104">
        <f t="shared" si="4"/>
        <v>311180.64</v>
      </c>
      <c r="O104" t="str">
        <f t="shared" si="5"/>
        <v>Medium</v>
      </c>
    </row>
    <row r="105" spans="1:15" x14ac:dyDescent="0.25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tr">
        <f t="shared" si="3"/>
        <v>Middle Age</v>
      </c>
      <c r="G105" t="s">
        <v>16</v>
      </c>
      <c r="H105" t="s">
        <v>102</v>
      </c>
      <c r="I105" t="s">
        <v>25</v>
      </c>
      <c r="J105" t="s">
        <v>26</v>
      </c>
      <c r="K105">
        <v>6</v>
      </c>
      <c r="L105">
        <v>8547.07</v>
      </c>
      <c r="M105">
        <v>51282.42</v>
      </c>
      <c r="N105">
        <f t="shared" si="4"/>
        <v>51282.42</v>
      </c>
      <c r="O105" t="str">
        <f t="shared" si="5"/>
        <v>Low</v>
      </c>
    </row>
    <row r="106" spans="1:15" x14ac:dyDescent="0.25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tr">
        <f t="shared" si="3"/>
        <v>Middle Age</v>
      </c>
      <c r="G106" t="s">
        <v>24</v>
      </c>
      <c r="H106" t="s">
        <v>60</v>
      </c>
      <c r="I106" t="s">
        <v>76</v>
      </c>
      <c r="J106" t="s">
        <v>77</v>
      </c>
      <c r="K106">
        <v>7</v>
      </c>
      <c r="L106">
        <v>46263.01</v>
      </c>
      <c r="M106">
        <v>323841.07</v>
      </c>
      <c r="N106">
        <f t="shared" si="4"/>
        <v>323841.07</v>
      </c>
      <c r="O106" t="str">
        <f t="shared" si="5"/>
        <v>Medium</v>
      </c>
    </row>
    <row r="107" spans="1:15" x14ac:dyDescent="0.25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tr">
        <f t="shared" si="3"/>
        <v>Adult</v>
      </c>
      <c r="G107" t="s">
        <v>24</v>
      </c>
      <c r="H107" t="s">
        <v>51</v>
      </c>
      <c r="I107" t="s">
        <v>25</v>
      </c>
      <c r="J107" t="s">
        <v>26</v>
      </c>
      <c r="K107">
        <v>2</v>
      </c>
      <c r="L107">
        <v>2814.55</v>
      </c>
      <c r="M107">
        <v>5629.1</v>
      </c>
      <c r="N107">
        <f t="shared" si="4"/>
        <v>5629.1</v>
      </c>
      <c r="O107" t="str">
        <f t="shared" si="5"/>
        <v>Low</v>
      </c>
    </row>
    <row r="108" spans="1:15" x14ac:dyDescent="0.25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tr">
        <f t="shared" si="3"/>
        <v>Adult</v>
      </c>
      <c r="G108" t="s">
        <v>24</v>
      </c>
      <c r="H108" t="s">
        <v>115</v>
      </c>
      <c r="I108" t="s">
        <v>36</v>
      </c>
      <c r="J108" t="s">
        <v>37</v>
      </c>
      <c r="K108">
        <v>8</v>
      </c>
      <c r="L108">
        <v>41112.050000000003</v>
      </c>
      <c r="M108">
        <v>328896.40000000002</v>
      </c>
      <c r="N108">
        <f t="shared" si="4"/>
        <v>328896.40000000002</v>
      </c>
      <c r="O108" t="str">
        <f t="shared" si="5"/>
        <v>Medium</v>
      </c>
    </row>
    <row r="109" spans="1:15" x14ac:dyDescent="0.25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tr">
        <f t="shared" si="3"/>
        <v>Adult</v>
      </c>
      <c r="G109" t="s">
        <v>24</v>
      </c>
      <c r="H109" t="s">
        <v>51</v>
      </c>
      <c r="I109" t="s">
        <v>25</v>
      </c>
      <c r="J109" t="s">
        <v>26</v>
      </c>
      <c r="K109">
        <v>4</v>
      </c>
      <c r="L109">
        <v>36826.879999999997</v>
      </c>
      <c r="M109">
        <v>147307.51999999999</v>
      </c>
      <c r="N109">
        <f t="shared" si="4"/>
        <v>147307.51999999999</v>
      </c>
      <c r="O109" t="str">
        <f t="shared" si="5"/>
        <v>Low</v>
      </c>
    </row>
    <row r="110" spans="1:15" x14ac:dyDescent="0.25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tr">
        <f t="shared" si="3"/>
        <v>Middle Age</v>
      </c>
      <c r="G110" t="s">
        <v>24</v>
      </c>
      <c r="H110" t="s">
        <v>46</v>
      </c>
      <c r="I110" t="s">
        <v>76</v>
      </c>
      <c r="J110" t="s">
        <v>77</v>
      </c>
      <c r="K110">
        <v>3</v>
      </c>
      <c r="L110">
        <v>42806.52</v>
      </c>
      <c r="M110">
        <v>128419.56</v>
      </c>
      <c r="N110">
        <f t="shared" si="4"/>
        <v>128419.56</v>
      </c>
      <c r="O110" t="str">
        <f t="shared" si="5"/>
        <v>Low</v>
      </c>
    </row>
    <row r="111" spans="1:15" x14ac:dyDescent="0.25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tr">
        <f t="shared" si="3"/>
        <v>Adult</v>
      </c>
      <c r="G111" t="s">
        <v>16</v>
      </c>
      <c r="H111" t="s">
        <v>35</v>
      </c>
      <c r="I111" t="s">
        <v>47</v>
      </c>
      <c r="J111" t="s">
        <v>37</v>
      </c>
      <c r="K111">
        <v>6</v>
      </c>
      <c r="L111">
        <v>5533</v>
      </c>
      <c r="M111">
        <v>33198</v>
      </c>
      <c r="N111">
        <f t="shared" si="4"/>
        <v>33198</v>
      </c>
      <c r="O111" t="str">
        <f t="shared" si="5"/>
        <v>Low</v>
      </c>
    </row>
    <row r="112" spans="1:15" x14ac:dyDescent="0.25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tr">
        <f t="shared" si="3"/>
        <v>Adult</v>
      </c>
      <c r="G112" t="s">
        <v>24</v>
      </c>
      <c r="H112" t="s">
        <v>102</v>
      </c>
      <c r="I112" t="s">
        <v>47</v>
      </c>
      <c r="J112" t="s">
        <v>37</v>
      </c>
      <c r="K112">
        <v>3</v>
      </c>
      <c r="L112">
        <v>2638.97</v>
      </c>
      <c r="M112">
        <v>7916.91</v>
      </c>
      <c r="N112">
        <f t="shared" si="4"/>
        <v>7916.91</v>
      </c>
      <c r="O112" t="str">
        <f t="shared" si="5"/>
        <v>Low</v>
      </c>
    </row>
    <row r="113" spans="1:15" x14ac:dyDescent="0.25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tr">
        <f t="shared" si="3"/>
        <v>Middle Age</v>
      </c>
      <c r="G113" t="s">
        <v>24</v>
      </c>
      <c r="H113" t="s">
        <v>69</v>
      </c>
      <c r="I113" t="s">
        <v>25</v>
      </c>
      <c r="J113" t="s">
        <v>26</v>
      </c>
      <c r="K113">
        <v>4</v>
      </c>
      <c r="L113">
        <v>25002.720000000001</v>
      </c>
      <c r="M113">
        <v>100010.88</v>
      </c>
      <c r="N113">
        <f t="shared" si="4"/>
        <v>100010.88</v>
      </c>
      <c r="O113" t="str">
        <f t="shared" si="5"/>
        <v>Low</v>
      </c>
    </row>
    <row r="114" spans="1:15" x14ac:dyDescent="0.25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tr">
        <f t="shared" si="3"/>
        <v>Adult</v>
      </c>
      <c r="G114" t="s">
        <v>16</v>
      </c>
      <c r="H114" t="s">
        <v>46</v>
      </c>
      <c r="I114" t="s">
        <v>25</v>
      </c>
      <c r="J114" t="s">
        <v>26</v>
      </c>
      <c r="K114">
        <v>10</v>
      </c>
      <c r="L114">
        <v>10391.75</v>
      </c>
      <c r="M114">
        <v>103917.5</v>
      </c>
      <c r="N114">
        <f t="shared" si="4"/>
        <v>103917.5</v>
      </c>
      <c r="O114" t="str">
        <f t="shared" si="5"/>
        <v>Low</v>
      </c>
    </row>
    <row r="115" spans="1:15" x14ac:dyDescent="0.25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tr">
        <f t="shared" si="3"/>
        <v>Middle Age</v>
      </c>
      <c r="G115" t="s">
        <v>24</v>
      </c>
      <c r="H115" t="s">
        <v>17</v>
      </c>
      <c r="I115" t="s">
        <v>25</v>
      </c>
      <c r="J115" t="s">
        <v>26</v>
      </c>
      <c r="K115">
        <v>10</v>
      </c>
      <c r="L115">
        <v>22437.16</v>
      </c>
      <c r="M115">
        <v>224371.6</v>
      </c>
      <c r="N115">
        <f t="shared" si="4"/>
        <v>224371.6</v>
      </c>
      <c r="O115" t="str">
        <f t="shared" si="5"/>
        <v>Medium</v>
      </c>
    </row>
    <row r="116" spans="1:15" x14ac:dyDescent="0.25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tr">
        <f t="shared" si="3"/>
        <v>Senior</v>
      </c>
      <c r="G116" t="s">
        <v>16</v>
      </c>
      <c r="H116" t="s">
        <v>46</v>
      </c>
      <c r="I116" t="s">
        <v>47</v>
      </c>
      <c r="J116" t="s">
        <v>37</v>
      </c>
      <c r="K116">
        <v>9</v>
      </c>
      <c r="L116">
        <v>41053.56</v>
      </c>
      <c r="M116">
        <v>369482.04</v>
      </c>
      <c r="N116">
        <f t="shared" si="4"/>
        <v>369482.04</v>
      </c>
      <c r="O116" t="str">
        <f t="shared" si="5"/>
        <v>High</v>
      </c>
    </row>
    <row r="117" spans="1:15" x14ac:dyDescent="0.25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tr">
        <f t="shared" si="3"/>
        <v>Middle Age</v>
      </c>
      <c r="G117" t="s">
        <v>16</v>
      </c>
      <c r="H117" t="s">
        <v>51</v>
      </c>
      <c r="I117" t="s">
        <v>18</v>
      </c>
      <c r="J117" t="s">
        <v>19</v>
      </c>
      <c r="K117">
        <v>2</v>
      </c>
      <c r="L117">
        <v>21391.19</v>
      </c>
      <c r="M117">
        <v>42782.38</v>
      </c>
      <c r="N117">
        <f t="shared" si="4"/>
        <v>42782.38</v>
      </c>
      <c r="O117" t="str">
        <f t="shared" si="5"/>
        <v>Low</v>
      </c>
    </row>
    <row r="118" spans="1:15" x14ac:dyDescent="0.25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tr">
        <f t="shared" si="3"/>
        <v>Adult</v>
      </c>
      <c r="G118" t="s">
        <v>16</v>
      </c>
      <c r="H118" t="s">
        <v>69</v>
      </c>
      <c r="I118" t="s">
        <v>76</v>
      </c>
      <c r="J118" t="s">
        <v>77</v>
      </c>
      <c r="K118">
        <v>4</v>
      </c>
      <c r="L118">
        <v>36875.19</v>
      </c>
      <c r="M118">
        <v>147500.76</v>
      </c>
      <c r="N118">
        <f t="shared" si="4"/>
        <v>147500.76</v>
      </c>
      <c r="O118" t="str">
        <f t="shared" si="5"/>
        <v>Low</v>
      </c>
    </row>
    <row r="119" spans="1:15" x14ac:dyDescent="0.25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tr">
        <f t="shared" si="3"/>
        <v>Middle Age</v>
      </c>
      <c r="G119" t="s">
        <v>16</v>
      </c>
      <c r="H119" t="s">
        <v>46</v>
      </c>
      <c r="I119" t="s">
        <v>36</v>
      </c>
      <c r="J119" t="s">
        <v>37</v>
      </c>
      <c r="K119">
        <v>4</v>
      </c>
      <c r="L119">
        <v>41640.74</v>
      </c>
      <c r="M119">
        <v>166562.96</v>
      </c>
      <c r="N119">
        <f t="shared" si="4"/>
        <v>166562.96</v>
      </c>
      <c r="O119" t="str">
        <f t="shared" si="5"/>
        <v>Medium</v>
      </c>
    </row>
    <row r="120" spans="1:15" x14ac:dyDescent="0.25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tr">
        <f t="shared" si="3"/>
        <v>Adult</v>
      </c>
      <c r="G120" t="s">
        <v>24</v>
      </c>
      <c r="H120" t="s">
        <v>35</v>
      </c>
      <c r="I120" t="s">
        <v>25</v>
      </c>
      <c r="J120" t="s">
        <v>26</v>
      </c>
      <c r="K120">
        <v>2</v>
      </c>
      <c r="L120">
        <v>25795.55</v>
      </c>
      <c r="M120">
        <v>51591.1</v>
      </c>
      <c r="N120">
        <f t="shared" si="4"/>
        <v>51591.1</v>
      </c>
      <c r="O120" t="str">
        <f t="shared" si="5"/>
        <v>Low</v>
      </c>
    </row>
    <row r="121" spans="1:15" x14ac:dyDescent="0.25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tr">
        <f t="shared" si="3"/>
        <v>Young Adult</v>
      </c>
      <c r="G121" t="s">
        <v>24</v>
      </c>
      <c r="H121" t="s">
        <v>102</v>
      </c>
      <c r="I121" t="s">
        <v>25</v>
      </c>
      <c r="J121" t="s">
        <v>26</v>
      </c>
      <c r="K121">
        <v>8</v>
      </c>
      <c r="L121">
        <v>4391.72</v>
      </c>
      <c r="M121">
        <v>35133.760000000002</v>
      </c>
      <c r="N121">
        <f t="shared" si="4"/>
        <v>35133.760000000002</v>
      </c>
      <c r="O121" t="str">
        <f t="shared" si="5"/>
        <v>Low</v>
      </c>
    </row>
    <row r="122" spans="1:15" x14ac:dyDescent="0.25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tr">
        <f t="shared" si="3"/>
        <v>Adult</v>
      </c>
      <c r="G122" t="s">
        <v>16</v>
      </c>
      <c r="H122" t="s">
        <v>51</v>
      </c>
      <c r="I122" t="s">
        <v>47</v>
      </c>
      <c r="J122" t="s">
        <v>37</v>
      </c>
      <c r="K122">
        <v>2</v>
      </c>
      <c r="L122">
        <v>18152.14</v>
      </c>
      <c r="M122">
        <v>36304.28</v>
      </c>
      <c r="N122">
        <f t="shared" si="4"/>
        <v>36304.28</v>
      </c>
      <c r="O122" t="str">
        <f t="shared" si="5"/>
        <v>Low</v>
      </c>
    </row>
    <row r="123" spans="1:15" x14ac:dyDescent="0.25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tr">
        <f t="shared" si="3"/>
        <v>Young Adult</v>
      </c>
      <c r="G123" t="s">
        <v>24</v>
      </c>
      <c r="H123" t="s">
        <v>46</v>
      </c>
      <c r="I123" t="s">
        <v>36</v>
      </c>
      <c r="J123" t="s">
        <v>37</v>
      </c>
      <c r="K123">
        <v>7</v>
      </c>
      <c r="L123">
        <v>16254.12</v>
      </c>
      <c r="M123">
        <v>113778.84</v>
      </c>
      <c r="N123">
        <f t="shared" si="4"/>
        <v>113778.84000000001</v>
      </c>
      <c r="O123" t="str">
        <f t="shared" si="5"/>
        <v>Low</v>
      </c>
    </row>
    <row r="124" spans="1:15" x14ac:dyDescent="0.25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tr">
        <f t="shared" si="3"/>
        <v>Middle Age</v>
      </c>
      <c r="G124" t="s">
        <v>24</v>
      </c>
      <c r="H124" t="s">
        <v>46</v>
      </c>
      <c r="I124" t="s">
        <v>70</v>
      </c>
      <c r="J124" t="s">
        <v>71</v>
      </c>
      <c r="K124">
        <v>5</v>
      </c>
      <c r="L124">
        <v>3805.27</v>
      </c>
      <c r="M124">
        <v>19026.349999999999</v>
      </c>
      <c r="N124">
        <f t="shared" si="4"/>
        <v>19026.349999999999</v>
      </c>
      <c r="O124" t="str">
        <f t="shared" si="5"/>
        <v>Low</v>
      </c>
    </row>
    <row r="125" spans="1:15" x14ac:dyDescent="0.25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tr">
        <f t="shared" si="3"/>
        <v>Adult</v>
      </c>
      <c r="G125" t="s">
        <v>24</v>
      </c>
      <c r="H125" t="s">
        <v>46</v>
      </c>
      <c r="I125" t="s">
        <v>25</v>
      </c>
      <c r="J125" t="s">
        <v>26</v>
      </c>
      <c r="K125">
        <v>7</v>
      </c>
      <c r="L125">
        <v>46489.41</v>
      </c>
      <c r="M125">
        <v>325425.87</v>
      </c>
      <c r="N125">
        <f t="shared" si="4"/>
        <v>325425.87</v>
      </c>
      <c r="O125" t="str">
        <f t="shared" si="5"/>
        <v>Medium</v>
      </c>
    </row>
    <row r="126" spans="1:15" x14ac:dyDescent="0.25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tr">
        <f t="shared" si="3"/>
        <v>Adult</v>
      </c>
      <c r="G126" t="s">
        <v>16</v>
      </c>
      <c r="H126" t="s">
        <v>51</v>
      </c>
      <c r="I126" t="s">
        <v>70</v>
      </c>
      <c r="J126" t="s">
        <v>71</v>
      </c>
      <c r="K126">
        <v>1</v>
      </c>
      <c r="L126">
        <v>17041.21</v>
      </c>
      <c r="M126">
        <v>17041.21</v>
      </c>
      <c r="N126">
        <f t="shared" si="4"/>
        <v>17041.21</v>
      </c>
      <c r="O126" t="str">
        <f t="shared" si="5"/>
        <v>Low</v>
      </c>
    </row>
    <row r="127" spans="1:15" x14ac:dyDescent="0.25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tr">
        <f t="shared" si="3"/>
        <v>Senior</v>
      </c>
      <c r="G127" t="s">
        <v>24</v>
      </c>
      <c r="H127" t="s">
        <v>51</v>
      </c>
      <c r="I127" t="s">
        <v>18</v>
      </c>
      <c r="J127" t="s">
        <v>19</v>
      </c>
      <c r="K127">
        <v>6</v>
      </c>
      <c r="L127">
        <v>41494.43</v>
      </c>
      <c r="M127">
        <v>248966.58</v>
      </c>
      <c r="N127">
        <f t="shared" si="4"/>
        <v>248966.58000000002</v>
      </c>
      <c r="O127" t="str">
        <f t="shared" si="5"/>
        <v>Medium</v>
      </c>
    </row>
    <row r="128" spans="1:15" x14ac:dyDescent="0.25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tr">
        <f t="shared" si="3"/>
        <v>Middle Age</v>
      </c>
      <c r="G128" t="s">
        <v>24</v>
      </c>
      <c r="H128" t="s">
        <v>102</v>
      </c>
      <c r="I128" t="s">
        <v>18</v>
      </c>
      <c r="J128" t="s">
        <v>19</v>
      </c>
      <c r="K128">
        <v>10</v>
      </c>
      <c r="L128">
        <v>25930.1</v>
      </c>
      <c r="M128">
        <v>259301</v>
      </c>
      <c r="N128">
        <f t="shared" si="4"/>
        <v>259301</v>
      </c>
      <c r="O128" t="str">
        <f t="shared" si="5"/>
        <v>Medium</v>
      </c>
    </row>
    <row r="129" spans="1:15" x14ac:dyDescent="0.25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tr">
        <f t="shared" si="3"/>
        <v>Middle Age</v>
      </c>
      <c r="G129" t="s">
        <v>24</v>
      </c>
      <c r="H129" t="s">
        <v>102</v>
      </c>
      <c r="I129" t="s">
        <v>47</v>
      </c>
      <c r="J129" t="s">
        <v>37</v>
      </c>
      <c r="K129">
        <v>8</v>
      </c>
      <c r="L129">
        <v>26281.83</v>
      </c>
      <c r="M129">
        <v>210254.64</v>
      </c>
      <c r="N129">
        <f t="shared" si="4"/>
        <v>210254.64</v>
      </c>
      <c r="O129" t="str">
        <f t="shared" si="5"/>
        <v>Medium</v>
      </c>
    </row>
    <row r="130" spans="1:15" x14ac:dyDescent="0.25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tr">
        <f t="shared" si="3"/>
        <v>Adult</v>
      </c>
      <c r="G130" t="s">
        <v>24</v>
      </c>
      <c r="H130" t="s">
        <v>51</v>
      </c>
      <c r="I130" t="s">
        <v>36</v>
      </c>
      <c r="J130" t="s">
        <v>37</v>
      </c>
      <c r="K130">
        <v>8</v>
      </c>
      <c r="L130">
        <v>21833.32</v>
      </c>
      <c r="M130">
        <v>174666.56</v>
      </c>
      <c r="N130">
        <f t="shared" si="4"/>
        <v>174666.56</v>
      </c>
      <c r="O130" t="str">
        <f t="shared" si="5"/>
        <v>Medium</v>
      </c>
    </row>
    <row r="131" spans="1:15" x14ac:dyDescent="0.25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tr">
        <f t="shared" ref="F131:F194" si="6">IF(E131&lt;=25,"Young Adult",IF(E131&lt;=40,"Adult",IF(E131&lt;=55,"Middle Age","Senior")))</f>
        <v>Young Adult</v>
      </c>
      <c r="G131" t="s">
        <v>24</v>
      </c>
      <c r="H131" t="s">
        <v>51</v>
      </c>
      <c r="I131" t="s">
        <v>18</v>
      </c>
      <c r="J131" t="s">
        <v>19</v>
      </c>
      <c r="K131">
        <v>6</v>
      </c>
      <c r="L131">
        <v>40577.1</v>
      </c>
      <c r="M131">
        <v>243462.6</v>
      </c>
      <c r="N131">
        <f t="shared" ref="N131:N194" si="7">K131*L131</f>
        <v>243462.59999999998</v>
      </c>
      <c r="O131" t="str">
        <f t="shared" ref="O131:O194" si="8">IF(M131&lt;165000,"Low",IF(M131&lt;=330000,"Medium","High"))</f>
        <v>Medium</v>
      </c>
    </row>
    <row r="132" spans="1:15" x14ac:dyDescent="0.25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tr">
        <f t="shared" si="6"/>
        <v>Adult</v>
      </c>
      <c r="G132" t="s">
        <v>16</v>
      </c>
      <c r="H132" t="s">
        <v>102</v>
      </c>
      <c r="I132" t="s">
        <v>70</v>
      </c>
      <c r="J132" t="s">
        <v>71</v>
      </c>
      <c r="K132">
        <v>5</v>
      </c>
      <c r="L132">
        <v>39039.96</v>
      </c>
      <c r="M132">
        <v>195199.8</v>
      </c>
      <c r="N132">
        <f t="shared" si="7"/>
        <v>195199.8</v>
      </c>
      <c r="O132" t="str">
        <f t="shared" si="8"/>
        <v>Medium</v>
      </c>
    </row>
    <row r="133" spans="1:15" x14ac:dyDescent="0.25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tr">
        <f t="shared" si="6"/>
        <v>Senior</v>
      </c>
      <c r="G133" t="s">
        <v>16</v>
      </c>
      <c r="H133" t="s">
        <v>17</v>
      </c>
      <c r="I133" t="s">
        <v>25</v>
      </c>
      <c r="J133" t="s">
        <v>26</v>
      </c>
      <c r="K133">
        <v>10</v>
      </c>
      <c r="L133">
        <v>29902.97</v>
      </c>
      <c r="M133">
        <v>299029.7</v>
      </c>
      <c r="N133">
        <f t="shared" si="7"/>
        <v>299029.7</v>
      </c>
      <c r="O133" t="str">
        <f t="shared" si="8"/>
        <v>Medium</v>
      </c>
    </row>
    <row r="134" spans="1:15" x14ac:dyDescent="0.25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tr">
        <f t="shared" si="6"/>
        <v>Adult</v>
      </c>
      <c r="G134" t="s">
        <v>16</v>
      </c>
      <c r="H134" t="s">
        <v>51</v>
      </c>
      <c r="I134" t="s">
        <v>36</v>
      </c>
      <c r="J134" t="s">
        <v>37</v>
      </c>
      <c r="K134">
        <v>7</v>
      </c>
      <c r="L134">
        <v>18967.46</v>
      </c>
      <c r="M134">
        <v>132772.22</v>
      </c>
      <c r="N134">
        <f t="shared" si="7"/>
        <v>132772.22</v>
      </c>
      <c r="O134" t="str">
        <f t="shared" si="8"/>
        <v>Low</v>
      </c>
    </row>
    <row r="135" spans="1:15" x14ac:dyDescent="0.25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tr">
        <f t="shared" si="6"/>
        <v>Middle Age</v>
      </c>
      <c r="G135" t="s">
        <v>16</v>
      </c>
      <c r="H135" t="s">
        <v>69</v>
      </c>
      <c r="I135" t="s">
        <v>36</v>
      </c>
      <c r="J135" t="s">
        <v>37</v>
      </c>
      <c r="K135">
        <v>10</v>
      </c>
      <c r="L135">
        <v>42943.17</v>
      </c>
      <c r="M135">
        <v>429431.7</v>
      </c>
      <c r="N135">
        <f t="shared" si="7"/>
        <v>429431.69999999995</v>
      </c>
      <c r="O135" t="str">
        <f t="shared" si="8"/>
        <v>High</v>
      </c>
    </row>
    <row r="136" spans="1:15" x14ac:dyDescent="0.25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tr">
        <f t="shared" si="6"/>
        <v>Middle Age</v>
      </c>
      <c r="G136" t="s">
        <v>24</v>
      </c>
      <c r="H136" t="s">
        <v>60</v>
      </c>
      <c r="I136" t="s">
        <v>47</v>
      </c>
      <c r="J136" t="s">
        <v>37</v>
      </c>
      <c r="K136">
        <v>6</v>
      </c>
      <c r="L136">
        <v>24216.91</v>
      </c>
      <c r="M136">
        <v>145301.46</v>
      </c>
      <c r="N136">
        <f t="shared" si="7"/>
        <v>145301.46</v>
      </c>
      <c r="O136" t="str">
        <f t="shared" si="8"/>
        <v>Low</v>
      </c>
    </row>
    <row r="137" spans="1:15" x14ac:dyDescent="0.25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tr">
        <f t="shared" si="6"/>
        <v>Adult</v>
      </c>
      <c r="G137" t="s">
        <v>16</v>
      </c>
      <c r="H137" t="s">
        <v>60</v>
      </c>
      <c r="I137" t="s">
        <v>76</v>
      </c>
      <c r="J137" t="s">
        <v>77</v>
      </c>
      <c r="K137">
        <v>9</v>
      </c>
      <c r="L137">
        <v>7093.9</v>
      </c>
      <c r="M137">
        <v>63845.1</v>
      </c>
      <c r="N137">
        <f t="shared" si="7"/>
        <v>63845.1</v>
      </c>
      <c r="O137" t="str">
        <f t="shared" si="8"/>
        <v>Low</v>
      </c>
    </row>
    <row r="138" spans="1:15" x14ac:dyDescent="0.25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tr">
        <f t="shared" si="6"/>
        <v>Young Adult</v>
      </c>
      <c r="G138" t="s">
        <v>16</v>
      </c>
      <c r="H138" t="s">
        <v>115</v>
      </c>
      <c r="I138" t="s">
        <v>76</v>
      </c>
      <c r="J138" t="s">
        <v>77</v>
      </c>
      <c r="K138">
        <v>5</v>
      </c>
      <c r="L138">
        <v>29748.17</v>
      </c>
      <c r="M138">
        <v>148740.85</v>
      </c>
      <c r="N138">
        <f t="shared" si="7"/>
        <v>148740.84999999998</v>
      </c>
      <c r="O138" t="str">
        <f t="shared" si="8"/>
        <v>Low</v>
      </c>
    </row>
    <row r="139" spans="1:15" x14ac:dyDescent="0.25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tr">
        <f t="shared" si="6"/>
        <v>Middle Age</v>
      </c>
      <c r="G139" t="s">
        <v>24</v>
      </c>
      <c r="H139" t="s">
        <v>17</v>
      </c>
      <c r="I139" t="s">
        <v>47</v>
      </c>
      <c r="J139" t="s">
        <v>37</v>
      </c>
      <c r="K139">
        <v>8</v>
      </c>
      <c r="L139">
        <v>22563.72</v>
      </c>
      <c r="M139">
        <v>180509.76</v>
      </c>
      <c r="N139">
        <f t="shared" si="7"/>
        <v>180509.76</v>
      </c>
      <c r="O139" t="str">
        <f t="shared" si="8"/>
        <v>Medium</v>
      </c>
    </row>
    <row r="140" spans="1:15" x14ac:dyDescent="0.25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tr">
        <f t="shared" si="6"/>
        <v>Young Adult</v>
      </c>
      <c r="G140" t="s">
        <v>24</v>
      </c>
      <c r="H140" t="s">
        <v>46</v>
      </c>
      <c r="I140" t="s">
        <v>36</v>
      </c>
      <c r="J140" t="s">
        <v>37</v>
      </c>
      <c r="K140">
        <v>7</v>
      </c>
      <c r="L140">
        <v>17321.68</v>
      </c>
      <c r="M140">
        <v>121251.76</v>
      </c>
      <c r="N140">
        <f t="shared" si="7"/>
        <v>121251.76000000001</v>
      </c>
      <c r="O140" t="str">
        <f t="shared" si="8"/>
        <v>Low</v>
      </c>
    </row>
    <row r="141" spans="1:15" x14ac:dyDescent="0.25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tr">
        <f t="shared" si="6"/>
        <v>Young Adult</v>
      </c>
      <c r="G141" t="s">
        <v>24</v>
      </c>
      <c r="H141" t="s">
        <v>102</v>
      </c>
      <c r="I141" t="s">
        <v>47</v>
      </c>
      <c r="J141" t="s">
        <v>37</v>
      </c>
      <c r="K141">
        <v>9</v>
      </c>
      <c r="L141">
        <v>25138.42</v>
      </c>
      <c r="M141">
        <v>226245.78</v>
      </c>
      <c r="N141">
        <f t="shared" si="7"/>
        <v>226245.77999999997</v>
      </c>
      <c r="O141" t="str">
        <f t="shared" si="8"/>
        <v>Medium</v>
      </c>
    </row>
    <row r="142" spans="1:15" x14ac:dyDescent="0.25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tr">
        <f t="shared" si="6"/>
        <v>Middle Age</v>
      </c>
      <c r="G142" t="s">
        <v>24</v>
      </c>
      <c r="H142" t="s">
        <v>35</v>
      </c>
      <c r="I142" t="s">
        <v>25</v>
      </c>
      <c r="J142" t="s">
        <v>26</v>
      </c>
      <c r="K142">
        <v>6</v>
      </c>
      <c r="L142">
        <v>33887.35</v>
      </c>
      <c r="M142">
        <v>203324.1</v>
      </c>
      <c r="N142">
        <f t="shared" si="7"/>
        <v>203324.09999999998</v>
      </c>
      <c r="O142" t="str">
        <f t="shared" si="8"/>
        <v>Medium</v>
      </c>
    </row>
    <row r="143" spans="1:15" x14ac:dyDescent="0.25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tr">
        <f t="shared" si="6"/>
        <v>Adult</v>
      </c>
      <c r="G143" t="s">
        <v>16</v>
      </c>
      <c r="H143" t="s">
        <v>102</v>
      </c>
      <c r="I143" t="s">
        <v>70</v>
      </c>
      <c r="J143" t="s">
        <v>71</v>
      </c>
      <c r="K143">
        <v>6</v>
      </c>
      <c r="L143">
        <v>30177.21</v>
      </c>
      <c r="M143">
        <v>181063.26</v>
      </c>
      <c r="N143">
        <f t="shared" si="7"/>
        <v>181063.26</v>
      </c>
      <c r="O143" t="str">
        <f t="shared" si="8"/>
        <v>Medium</v>
      </c>
    </row>
    <row r="144" spans="1:15" x14ac:dyDescent="0.25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tr">
        <f t="shared" si="6"/>
        <v>Adult</v>
      </c>
      <c r="G144" t="s">
        <v>16</v>
      </c>
      <c r="H144" t="s">
        <v>35</v>
      </c>
      <c r="I144" t="s">
        <v>36</v>
      </c>
      <c r="J144" t="s">
        <v>37</v>
      </c>
      <c r="K144">
        <v>3</v>
      </c>
      <c r="L144">
        <v>28572.400000000001</v>
      </c>
      <c r="M144">
        <v>85717.2</v>
      </c>
      <c r="N144">
        <f t="shared" si="7"/>
        <v>85717.200000000012</v>
      </c>
      <c r="O144" t="str">
        <f t="shared" si="8"/>
        <v>Low</v>
      </c>
    </row>
    <row r="145" spans="1:15" x14ac:dyDescent="0.25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tr">
        <f t="shared" si="6"/>
        <v>Adult</v>
      </c>
      <c r="G145" t="s">
        <v>24</v>
      </c>
      <c r="H145" t="s">
        <v>102</v>
      </c>
      <c r="I145" t="s">
        <v>36</v>
      </c>
      <c r="J145" t="s">
        <v>37</v>
      </c>
      <c r="K145">
        <v>4</v>
      </c>
      <c r="L145">
        <v>6898.4</v>
      </c>
      <c r="M145">
        <v>27593.599999999999</v>
      </c>
      <c r="N145">
        <f t="shared" si="7"/>
        <v>27593.599999999999</v>
      </c>
      <c r="O145" t="str">
        <f t="shared" si="8"/>
        <v>Low</v>
      </c>
    </row>
    <row r="146" spans="1:15" x14ac:dyDescent="0.25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tr">
        <f t="shared" si="6"/>
        <v>Senior</v>
      </c>
      <c r="G146" t="s">
        <v>16</v>
      </c>
      <c r="H146" t="s">
        <v>102</v>
      </c>
      <c r="I146" t="s">
        <v>70</v>
      </c>
      <c r="J146" t="s">
        <v>71</v>
      </c>
      <c r="K146">
        <v>1</v>
      </c>
      <c r="L146">
        <v>20740.93</v>
      </c>
      <c r="M146">
        <v>20740.93</v>
      </c>
      <c r="N146">
        <f t="shared" si="7"/>
        <v>20740.93</v>
      </c>
      <c r="O146" t="str">
        <f t="shared" si="8"/>
        <v>Low</v>
      </c>
    </row>
    <row r="147" spans="1:15" x14ac:dyDescent="0.25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tr">
        <f t="shared" si="6"/>
        <v>Young Adult</v>
      </c>
      <c r="G147" t="s">
        <v>24</v>
      </c>
      <c r="H147" t="s">
        <v>17</v>
      </c>
      <c r="I147" t="s">
        <v>47</v>
      </c>
      <c r="J147" t="s">
        <v>37</v>
      </c>
      <c r="K147">
        <v>3</v>
      </c>
      <c r="L147">
        <v>37576.35</v>
      </c>
      <c r="M147">
        <v>112729.05</v>
      </c>
      <c r="N147">
        <f t="shared" si="7"/>
        <v>112729.04999999999</v>
      </c>
      <c r="O147" t="str">
        <f t="shared" si="8"/>
        <v>Low</v>
      </c>
    </row>
    <row r="148" spans="1:15" x14ac:dyDescent="0.25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tr">
        <f t="shared" si="6"/>
        <v>Middle Age</v>
      </c>
      <c r="G148" t="s">
        <v>16</v>
      </c>
      <c r="H148" t="s">
        <v>69</v>
      </c>
      <c r="I148" t="s">
        <v>36</v>
      </c>
      <c r="J148" t="s">
        <v>37</v>
      </c>
      <c r="K148">
        <v>6</v>
      </c>
      <c r="L148">
        <v>20416.04</v>
      </c>
      <c r="M148">
        <v>122496.24</v>
      </c>
      <c r="N148">
        <f t="shared" si="7"/>
        <v>122496.24</v>
      </c>
      <c r="O148" t="str">
        <f t="shared" si="8"/>
        <v>Low</v>
      </c>
    </row>
    <row r="149" spans="1:15" x14ac:dyDescent="0.25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tr">
        <f t="shared" si="6"/>
        <v>Senior</v>
      </c>
      <c r="G149" t="s">
        <v>24</v>
      </c>
      <c r="H149" t="s">
        <v>17</v>
      </c>
      <c r="I149" t="s">
        <v>76</v>
      </c>
      <c r="J149" t="s">
        <v>77</v>
      </c>
      <c r="K149">
        <v>2</v>
      </c>
      <c r="L149">
        <v>8092.78</v>
      </c>
      <c r="M149">
        <v>16185.56</v>
      </c>
      <c r="N149">
        <f t="shared" si="7"/>
        <v>16185.56</v>
      </c>
      <c r="O149" t="str">
        <f t="shared" si="8"/>
        <v>Low</v>
      </c>
    </row>
    <row r="150" spans="1:15" x14ac:dyDescent="0.25">
      <c r="A150" t="s">
        <v>576</v>
      </c>
      <c r="B150" t="s">
        <v>577</v>
      </c>
      <c r="C150" t="s">
        <v>578</v>
      </c>
      <c r="D150" t="s">
        <v>579</v>
      </c>
      <c r="E150">
        <v>41</v>
      </c>
      <c r="F150" t="str">
        <f t="shared" si="6"/>
        <v>Middle Age</v>
      </c>
      <c r="G150" t="s">
        <v>16</v>
      </c>
      <c r="I150" t="s">
        <v>76</v>
      </c>
      <c r="J150" t="s">
        <v>77</v>
      </c>
      <c r="K150">
        <v>4</v>
      </c>
      <c r="L150">
        <v>1973.64</v>
      </c>
      <c r="M150">
        <v>7894.56</v>
      </c>
      <c r="N150">
        <f t="shared" si="7"/>
        <v>7894.56</v>
      </c>
      <c r="O150" t="str">
        <f t="shared" si="8"/>
        <v>Low</v>
      </c>
    </row>
    <row r="151" spans="1:15" x14ac:dyDescent="0.25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tr">
        <f t="shared" si="6"/>
        <v>Young Adult</v>
      </c>
      <c r="G151" t="s">
        <v>16</v>
      </c>
      <c r="H151" t="s">
        <v>60</v>
      </c>
      <c r="I151" t="s">
        <v>70</v>
      </c>
      <c r="J151" t="s">
        <v>71</v>
      </c>
      <c r="K151">
        <v>8</v>
      </c>
      <c r="L151">
        <v>41749.550000000003</v>
      </c>
      <c r="M151">
        <v>333996.40000000002</v>
      </c>
      <c r="N151">
        <f t="shared" si="7"/>
        <v>333996.40000000002</v>
      </c>
      <c r="O151" t="str">
        <f t="shared" si="8"/>
        <v>High</v>
      </c>
    </row>
    <row r="152" spans="1:15" x14ac:dyDescent="0.25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tr">
        <f t="shared" si="6"/>
        <v>Middle Age</v>
      </c>
      <c r="G152" t="s">
        <v>24</v>
      </c>
      <c r="H152" t="s">
        <v>102</v>
      </c>
      <c r="I152" t="s">
        <v>47</v>
      </c>
      <c r="J152" t="s">
        <v>37</v>
      </c>
      <c r="K152">
        <v>9</v>
      </c>
      <c r="L152">
        <v>48833.27</v>
      </c>
      <c r="M152">
        <v>439499.43</v>
      </c>
      <c r="N152">
        <f t="shared" si="7"/>
        <v>439499.43</v>
      </c>
      <c r="O152" t="str">
        <f t="shared" si="8"/>
        <v>High</v>
      </c>
    </row>
    <row r="153" spans="1:15" x14ac:dyDescent="0.25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tr">
        <f t="shared" si="6"/>
        <v>Adult</v>
      </c>
      <c r="G153" t="s">
        <v>16</v>
      </c>
      <c r="H153" t="s">
        <v>60</v>
      </c>
      <c r="I153" t="s">
        <v>36</v>
      </c>
      <c r="J153" t="s">
        <v>37</v>
      </c>
      <c r="K153">
        <v>7</v>
      </c>
      <c r="L153">
        <v>48642.53</v>
      </c>
      <c r="M153">
        <v>340497.71</v>
      </c>
      <c r="N153">
        <f t="shared" si="7"/>
        <v>340497.70999999996</v>
      </c>
      <c r="O153" t="str">
        <f t="shared" si="8"/>
        <v>High</v>
      </c>
    </row>
    <row r="154" spans="1:15" x14ac:dyDescent="0.25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tr">
        <f t="shared" si="6"/>
        <v>Senior</v>
      </c>
      <c r="G154" t="s">
        <v>16</v>
      </c>
      <c r="H154" t="s">
        <v>60</v>
      </c>
      <c r="I154" t="s">
        <v>47</v>
      </c>
      <c r="J154" t="s">
        <v>37</v>
      </c>
      <c r="K154">
        <v>4</v>
      </c>
      <c r="L154">
        <v>42299.16</v>
      </c>
      <c r="M154">
        <v>169196.64</v>
      </c>
      <c r="N154">
        <f t="shared" si="7"/>
        <v>169196.64</v>
      </c>
      <c r="O154" t="str">
        <f t="shared" si="8"/>
        <v>Medium</v>
      </c>
    </row>
    <row r="155" spans="1:15" x14ac:dyDescent="0.25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tr">
        <f t="shared" si="6"/>
        <v>Middle Age</v>
      </c>
      <c r="G155" t="s">
        <v>16</v>
      </c>
      <c r="H155" t="s">
        <v>51</v>
      </c>
      <c r="I155" t="s">
        <v>25</v>
      </c>
      <c r="J155" t="s">
        <v>26</v>
      </c>
      <c r="K155">
        <v>5</v>
      </c>
      <c r="L155">
        <v>38233.51</v>
      </c>
      <c r="M155">
        <v>191167.55</v>
      </c>
      <c r="N155">
        <f t="shared" si="7"/>
        <v>191167.55000000002</v>
      </c>
      <c r="O155" t="str">
        <f t="shared" si="8"/>
        <v>Medium</v>
      </c>
    </row>
    <row r="156" spans="1:15" x14ac:dyDescent="0.25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tr">
        <f t="shared" si="6"/>
        <v>Senior</v>
      </c>
      <c r="G156" t="s">
        <v>24</v>
      </c>
      <c r="H156" t="s">
        <v>115</v>
      </c>
      <c r="I156" t="s">
        <v>36</v>
      </c>
      <c r="J156" t="s">
        <v>37</v>
      </c>
      <c r="K156">
        <v>4</v>
      </c>
      <c r="L156">
        <v>6502.53</v>
      </c>
      <c r="M156">
        <v>26010.12</v>
      </c>
      <c r="N156">
        <f t="shared" si="7"/>
        <v>26010.12</v>
      </c>
      <c r="O156" t="str">
        <f t="shared" si="8"/>
        <v>Low</v>
      </c>
    </row>
    <row r="157" spans="1:15" x14ac:dyDescent="0.25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tr">
        <f t="shared" si="6"/>
        <v>Senior</v>
      </c>
      <c r="G157" t="s">
        <v>24</v>
      </c>
      <c r="H157" t="s">
        <v>17</v>
      </c>
      <c r="I157" t="s">
        <v>25</v>
      </c>
      <c r="J157" t="s">
        <v>26</v>
      </c>
      <c r="K157">
        <v>2</v>
      </c>
      <c r="L157">
        <v>18293.96</v>
      </c>
      <c r="M157">
        <v>36587.919999999998</v>
      </c>
      <c r="N157">
        <f t="shared" si="7"/>
        <v>36587.919999999998</v>
      </c>
      <c r="O157" t="str">
        <f t="shared" si="8"/>
        <v>Low</v>
      </c>
    </row>
    <row r="158" spans="1:15" x14ac:dyDescent="0.25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tr">
        <f t="shared" si="6"/>
        <v>Adult</v>
      </c>
      <c r="G158" t="s">
        <v>24</v>
      </c>
      <c r="H158" t="s">
        <v>102</v>
      </c>
      <c r="I158" t="s">
        <v>36</v>
      </c>
      <c r="J158" t="s">
        <v>37</v>
      </c>
      <c r="K158">
        <v>2</v>
      </c>
      <c r="L158">
        <v>40810.01</v>
      </c>
      <c r="M158">
        <v>81620.02</v>
      </c>
      <c r="N158">
        <f t="shared" si="7"/>
        <v>81620.02</v>
      </c>
      <c r="O158" t="str">
        <f t="shared" si="8"/>
        <v>Low</v>
      </c>
    </row>
    <row r="159" spans="1:15" x14ac:dyDescent="0.25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tr">
        <f t="shared" si="6"/>
        <v>Adult</v>
      </c>
      <c r="G159" t="s">
        <v>16</v>
      </c>
      <c r="H159" t="s">
        <v>35</v>
      </c>
      <c r="I159" t="s">
        <v>36</v>
      </c>
      <c r="J159" t="s">
        <v>37</v>
      </c>
      <c r="K159">
        <v>7</v>
      </c>
      <c r="L159">
        <v>28469</v>
      </c>
      <c r="M159">
        <v>199283</v>
      </c>
      <c r="N159">
        <f t="shared" si="7"/>
        <v>199283</v>
      </c>
      <c r="O159" t="str">
        <f t="shared" si="8"/>
        <v>Medium</v>
      </c>
    </row>
    <row r="160" spans="1:15" x14ac:dyDescent="0.25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tr">
        <f t="shared" si="6"/>
        <v>Middle Age</v>
      </c>
      <c r="G160" t="s">
        <v>24</v>
      </c>
      <c r="H160" t="s">
        <v>46</v>
      </c>
      <c r="I160" t="s">
        <v>76</v>
      </c>
      <c r="J160" t="s">
        <v>77</v>
      </c>
      <c r="K160">
        <v>10</v>
      </c>
      <c r="L160">
        <v>1085.1300000000001</v>
      </c>
      <c r="M160">
        <v>10851.3</v>
      </c>
      <c r="N160">
        <f t="shared" si="7"/>
        <v>10851.300000000001</v>
      </c>
      <c r="O160" t="str">
        <f t="shared" si="8"/>
        <v>Low</v>
      </c>
    </row>
    <row r="161" spans="1:15" x14ac:dyDescent="0.25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tr">
        <f t="shared" si="6"/>
        <v>Senior</v>
      </c>
      <c r="G161" t="s">
        <v>24</v>
      </c>
      <c r="H161" t="s">
        <v>17</v>
      </c>
      <c r="I161" t="s">
        <v>18</v>
      </c>
      <c r="J161" t="s">
        <v>19</v>
      </c>
      <c r="K161">
        <v>3</v>
      </c>
      <c r="L161">
        <v>145.78</v>
      </c>
      <c r="M161">
        <v>437.34</v>
      </c>
      <c r="N161">
        <f t="shared" si="7"/>
        <v>437.34000000000003</v>
      </c>
      <c r="O161" t="str">
        <f t="shared" si="8"/>
        <v>Low</v>
      </c>
    </row>
    <row r="162" spans="1:15" x14ac:dyDescent="0.25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tr">
        <f t="shared" si="6"/>
        <v>Adult</v>
      </c>
      <c r="G162" t="s">
        <v>16</v>
      </c>
      <c r="H162" t="s">
        <v>35</v>
      </c>
      <c r="I162" t="s">
        <v>36</v>
      </c>
      <c r="J162" t="s">
        <v>37</v>
      </c>
      <c r="K162">
        <v>9</v>
      </c>
      <c r="L162">
        <v>22636.01</v>
      </c>
      <c r="M162">
        <v>203724.09</v>
      </c>
      <c r="N162">
        <f t="shared" si="7"/>
        <v>203724.09</v>
      </c>
      <c r="O162" t="str">
        <f t="shared" si="8"/>
        <v>Medium</v>
      </c>
    </row>
    <row r="163" spans="1:15" x14ac:dyDescent="0.25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tr">
        <f t="shared" si="6"/>
        <v>Senior</v>
      </c>
      <c r="G163" t="s">
        <v>24</v>
      </c>
      <c r="H163" t="s">
        <v>60</v>
      </c>
      <c r="I163" t="s">
        <v>25</v>
      </c>
      <c r="J163" t="s">
        <v>26</v>
      </c>
      <c r="K163">
        <v>6</v>
      </c>
      <c r="L163">
        <v>39830.65</v>
      </c>
      <c r="M163">
        <v>238983.9</v>
      </c>
      <c r="N163">
        <f t="shared" si="7"/>
        <v>238983.90000000002</v>
      </c>
      <c r="O163" t="str">
        <f t="shared" si="8"/>
        <v>Medium</v>
      </c>
    </row>
    <row r="164" spans="1:15" x14ac:dyDescent="0.25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tr">
        <f t="shared" si="6"/>
        <v>Senior</v>
      </c>
      <c r="G164" t="s">
        <v>24</v>
      </c>
      <c r="H164" t="s">
        <v>17</v>
      </c>
      <c r="I164" t="s">
        <v>36</v>
      </c>
      <c r="J164" t="s">
        <v>37</v>
      </c>
      <c r="K164">
        <v>10</v>
      </c>
      <c r="L164">
        <v>41054.720000000001</v>
      </c>
      <c r="M164">
        <v>410547.20000000001</v>
      </c>
      <c r="N164">
        <f t="shared" si="7"/>
        <v>410547.20000000001</v>
      </c>
      <c r="O164" t="str">
        <f t="shared" si="8"/>
        <v>High</v>
      </c>
    </row>
    <row r="165" spans="1:15" x14ac:dyDescent="0.25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tr">
        <f t="shared" si="6"/>
        <v>Middle Age</v>
      </c>
      <c r="G165" t="s">
        <v>16</v>
      </c>
      <c r="H165" t="s">
        <v>46</v>
      </c>
      <c r="I165" t="s">
        <v>18</v>
      </c>
      <c r="J165" t="s">
        <v>19</v>
      </c>
      <c r="K165">
        <v>4</v>
      </c>
      <c r="L165">
        <v>35300.11</v>
      </c>
      <c r="M165">
        <v>141200.44</v>
      </c>
      <c r="N165">
        <f t="shared" si="7"/>
        <v>141200.44</v>
      </c>
      <c r="O165" t="str">
        <f t="shared" si="8"/>
        <v>Low</v>
      </c>
    </row>
    <row r="166" spans="1:15" x14ac:dyDescent="0.25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tr">
        <f t="shared" si="6"/>
        <v>Middle Age</v>
      </c>
      <c r="G166" t="s">
        <v>16</v>
      </c>
      <c r="H166" t="s">
        <v>46</v>
      </c>
      <c r="I166" t="s">
        <v>25</v>
      </c>
      <c r="J166" t="s">
        <v>26</v>
      </c>
      <c r="K166">
        <v>5</v>
      </c>
      <c r="L166">
        <v>25053.25</v>
      </c>
      <c r="M166">
        <v>125266.25</v>
      </c>
      <c r="N166">
        <f t="shared" si="7"/>
        <v>125266.25</v>
      </c>
      <c r="O166" t="str">
        <f t="shared" si="8"/>
        <v>Low</v>
      </c>
    </row>
    <row r="167" spans="1:15" x14ac:dyDescent="0.25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tr">
        <f t="shared" si="6"/>
        <v>Adult</v>
      </c>
      <c r="G167" t="s">
        <v>16</v>
      </c>
      <c r="H167" t="s">
        <v>51</v>
      </c>
      <c r="I167" t="s">
        <v>18</v>
      </c>
      <c r="J167" t="s">
        <v>19</v>
      </c>
      <c r="K167">
        <v>7</v>
      </c>
      <c r="L167">
        <v>23674.97</v>
      </c>
      <c r="M167">
        <v>165724.79</v>
      </c>
      <c r="N167">
        <f t="shared" si="7"/>
        <v>165724.79</v>
      </c>
      <c r="O167" t="str">
        <f t="shared" si="8"/>
        <v>Medium</v>
      </c>
    </row>
    <row r="168" spans="1:15" x14ac:dyDescent="0.25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tr">
        <f t="shared" si="6"/>
        <v>Adult</v>
      </c>
      <c r="G168" t="s">
        <v>24</v>
      </c>
      <c r="H168" t="s">
        <v>51</v>
      </c>
      <c r="I168" t="s">
        <v>76</v>
      </c>
      <c r="J168" t="s">
        <v>77</v>
      </c>
      <c r="K168">
        <v>8</v>
      </c>
      <c r="L168">
        <v>37436.26</v>
      </c>
      <c r="M168">
        <v>299490.08</v>
      </c>
      <c r="N168">
        <f t="shared" si="7"/>
        <v>299490.08</v>
      </c>
      <c r="O168" t="str">
        <f t="shared" si="8"/>
        <v>Medium</v>
      </c>
    </row>
    <row r="169" spans="1:15" x14ac:dyDescent="0.25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tr">
        <f t="shared" si="6"/>
        <v>Adult</v>
      </c>
      <c r="G169" t="s">
        <v>16</v>
      </c>
      <c r="H169" t="s">
        <v>17</v>
      </c>
      <c r="I169" t="s">
        <v>76</v>
      </c>
      <c r="J169" t="s">
        <v>77</v>
      </c>
      <c r="K169">
        <v>10</v>
      </c>
      <c r="L169">
        <v>31730.57</v>
      </c>
      <c r="M169">
        <v>317305.7</v>
      </c>
      <c r="N169">
        <f t="shared" si="7"/>
        <v>317305.7</v>
      </c>
      <c r="O169" t="str">
        <f t="shared" si="8"/>
        <v>Medium</v>
      </c>
    </row>
    <row r="170" spans="1:15" x14ac:dyDescent="0.25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tr">
        <f t="shared" si="6"/>
        <v>Middle Age</v>
      </c>
      <c r="G170" t="s">
        <v>24</v>
      </c>
      <c r="H170" t="s">
        <v>17</v>
      </c>
      <c r="I170" t="s">
        <v>47</v>
      </c>
      <c r="J170" t="s">
        <v>37</v>
      </c>
      <c r="K170">
        <v>4</v>
      </c>
      <c r="L170">
        <v>30139.27</v>
      </c>
      <c r="M170">
        <v>120557.08</v>
      </c>
      <c r="N170">
        <f t="shared" si="7"/>
        <v>120557.08</v>
      </c>
      <c r="O170" t="str">
        <f t="shared" si="8"/>
        <v>Low</v>
      </c>
    </row>
    <row r="171" spans="1:15" x14ac:dyDescent="0.25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tr">
        <f t="shared" si="6"/>
        <v>Young Adult</v>
      </c>
      <c r="G171" t="s">
        <v>24</v>
      </c>
      <c r="H171" t="s">
        <v>17</v>
      </c>
      <c r="I171" t="s">
        <v>76</v>
      </c>
      <c r="J171" t="s">
        <v>77</v>
      </c>
      <c r="K171">
        <v>3</v>
      </c>
      <c r="L171">
        <v>10289.67</v>
      </c>
      <c r="M171">
        <v>30869.01</v>
      </c>
      <c r="N171">
        <f t="shared" si="7"/>
        <v>30869.010000000002</v>
      </c>
      <c r="O171" t="str">
        <f t="shared" si="8"/>
        <v>Low</v>
      </c>
    </row>
    <row r="172" spans="1:15" x14ac:dyDescent="0.25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tr">
        <f t="shared" si="6"/>
        <v>Senior</v>
      </c>
      <c r="G172" t="s">
        <v>16</v>
      </c>
      <c r="H172" t="s">
        <v>60</v>
      </c>
      <c r="I172" t="s">
        <v>76</v>
      </c>
      <c r="J172" t="s">
        <v>77</v>
      </c>
      <c r="K172">
        <v>1</v>
      </c>
      <c r="L172">
        <v>8906.18</v>
      </c>
      <c r="M172">
        <v>8906.18</v>
      </c>
      <c r="N172">
        <f t="shared" si="7"/>
        <v>8906.18</v>
      </c>
      <c r="O172" t="str">
        <f t="shared" si="8"/>
        <v>Low</v>
      </c>
    </row>
    <row r="173" spans="1:15" x14ac:dyDescent="0.25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tr">
        <f t="shared" si="6"/>
        <v>Young Adult</v>
      </c>
      <c r="G173" t="s">
        <v>24</v>
      </c>
      <c r="H173" t="s">
        <v>46</v>
      </c>
      <c r="I173" t="s">
        <v>18</v>
      </c>
      <c r="J173" t="s">
        <v>19</v>
      </c>
      <c r="K173">
        <v>2</v>
      </c>
      <c r="L173">
        <v>21856.639999999999</v>
      </c>
      <c r="M173">
        <v>43713.279999999999</v>
      </c>
      <c r="N173">
        <f t="shared" si="7"/>
        <v>43713.279999999999</v>
      </c>
      <c r="O173" t="str">
        <f t="shared" si="8"/>
        <v>Low</v>
      </c>
    </row>
    <row r="174" spans="1:15" x14ac:dyDescent="0.25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tr">
        <f t="shared" si="6"/>
        <v>Adult</v>
      </c>
      <c r="G174" t="s">
        <v>24</v>
      </c>
      <c r="H174" t="s">
        <v>102</v>
      </c>
      <c r="I174" t="s">
        <v>18</v>
      </c>
      <c r="J174" t="s">
        <v>19</v>
      </c>
      <c r="K174">
        <v>9</v>
      </c>
      <c r="L174">
        <v>26781.39</v>
      </c>
      <c r="M174">
        <v>241032.51</v>
      </c>
      <c r="N174">
        <f t="shared" si="7"/>
        <v>241032.51</v>
      </c>
      <c r="O174" t="str">
        <f t="shared" si="8"/>
        <v>Medium</v>
      </c>
    </row>
    <row r="175" spans="1:15" x14ac:dyDescent="0.25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tr">
        <f t="shared" si="6"/>
        <v>Middle Age</v>
      </c>
      <c r="G175" t="s">
        <v>24</v>
      </c>
      <c r="H175" t="s">
        <v>51</v>
      </c>
      <c r="I175" t="s">
        <v>18</v>
      </c>
      <c r="J175" t="s">
        <v>19</v>
      </c>
      <c r="K175">
        <v>9</v>
      </c>
      <c r="L175">
        <v>49390.42</v>
      </c>
      <c r="M175">
        <v>444513.78</v>
      </c>
      <c r="N175">
        <f t="shared" si="7"/>
        <v>444513.77999999997</v>
      </c>
      <c r="O175" t="str">
        <f t="shared" si="8"/>
        <v>High</v>
      </c>
    </row>
    <row r="176" spans="1:15" x14ac:dyDescent="0.25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tr">
        <f t="shared" si="6"/>
        <v>Young Adult</v>
      </c>
      <c r="G176" t="s">
        <v>24</v>
      </c>
      <c r="H176" t="s">
        <v>60</v>
      </c>
      <c r="I176" t="s">
        <v>47</v>
      </c>
      <c r="J176" t="s">
        <v>37</v>
      </c>
      <c r="K176">
        <v>9</v>
      </c>
      <c r="L176">
        <v>21792.76</v>
      </c>
      <c r="M176">
        <v>196134.84</v>
      </c>
      <c r="N176">
        <f t="shared" si="7"/>
        <v>196134.84</v>
      </c>
      <c r="O176" t="str">
        <f t="shared" si="8"/>
        <v>Medium</v>
      </c>
    </row>
    <row r="177" spans="1:15" x14ac:dyDescent="0.25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tr">
        <f t="shared" si="6"/>
        <v>Middle Age</v>
      </c>
      <c r="G177" t="s">
        <v>24</v>
      </c>
      <c r="H177" t="s">
        <v>115</v>
      </c>
      <c r="I177" t="s">
        <v>36</v>
      </c>
      <c r="J177" t="s">
        <v>37</v>
      </c>
      <c r="K177">
        <v>4</v>
      </c>
      <c r="L177">
        <v>16850.46</v>
      </c>
      <c r="M177">
        <v>67401.84</v>
      </c>
      <c r="N177">
        <f t="shared" si="7"/>
        <v>67401.84</v>
      </c>
      <c r="O177" t="str">
        <f t="shared" si="8"/>
        <v>Low</v>
      </c>
    </row>
    <row r="178" spans="1:15" x14ac:dyDescent="0.25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tr">
        <f t="shared" si="6"/>
        <v>Young Adult</v>
      </c>
      <c r="G178" t="s">
        <v>16</v>
      </c>
      <c r="H178" t="s">
        <v>115</v>
      </c>
      <c r="I178" t="s">
        <v>36</v>
      </c>
      <c r="J178" t="s">
        <v>37</v>
      </c>
      <c r="K178">
        <v>2</v>
      </c>
      <c r="L178">
        <v>14098.13</v>
      </c>
      <c r="M178">
        <v>28196.26</v>
      </c>
      <c r="N178">
        <f t="shared" si="7"/>
        <v>28196.26</v>
      </c>
      <c r="O178" t="str">
        <f t="shared" si="8"/>
        <v>Low</v>
      </c>
    </row>
    <row r="179" spans="1:15" x14ac:dyDescent="0.25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tr">
        <f t="shared" si="6"/>
        <v>Middle Age</v>
      </c>
      <c r="G179" t="s">
        <v>24</v>
      </c>
      <c r="H179" t="s">
        <v>102</v>
      </c>
      <c r="I179" t="s">
        <v>36</v>
      </c>
      <c r="J179" t="s">
        <v>37</v>
      </c>
      <c r="K179">
        <v>3</v>
      </c>
      <c r="L179">
        <v>34033.11</v>
      </c>
      <c r="M179">
        <v>102099.33</v>
      </c>
      <c r="N179">
        <f t="shared" si="7"/>
        <v>102099.33</v>
      </c>
      <c r="O179" t="str">
        <f t="shared" si="8"/>
        <v>Low</v>
      </c>
    </row>
    <row r="180" spans="1:15" x14ac:dyDescent="0.25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tr">
        <f t="shared" si="6"/>
        <v>Adult</v>
      </c>
      <c r="G180" t="s">
        <v>24</v>
      </c>
      <c r="H180" t="s">
        <v>35</v>
      </c>
      <c r="I180" t="s">
        <v>47</v>
      </c>
      <c r="J180" t="s">
        <v>37</v>
      </c>
      <c r="K180">
        <v>5</v>
      </c>
      <c r="L180">
        <v>1423.81</v>
      </c>
      <c r="M180">
        <v>7119.05</v>
      </c>
      <c r="N180">
        <f t="shared" si="7"/>
        <v>7119.0499999999993</v>
      </c>
      <c r="O180" t="str">
        <f t="shared" si="8"/>
        <v>Low</v>
      </c>
    </row>
    <row r="181" spans="1:15" x14ac:dyDescent="0.25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tr">
        <f t="shared" si="6"/>
        <v>Middle Age</v>
      </c>
      <c r="G181" t="s">
        <v>24</v>
      </c>
      <c r="H181" t="s">
        <v>69</v>
      </c>
      <c r="I181" t="s">
        <v>18</v>
      </c>
      <c r="J181" t="s">
        <v>19</v>
      </c>
      <c r="K181">
        <v>8</v>
      </c>
      <c r="L181">
        <v>29735.57</v>
      </c>
      <c r="M181">
        <v>237884.56</v>
      </c>
      <c r="N181">
        <f t="shared" si="7"/>
        <v>237884.56</v>
      </c>
      <c r="O181" t="str">
        <f t="shared" si="8"/>
        <v>Medium</v>
      </c>
    </row>
    <row r="182" spans="1:15" x14ac:dyDescent="0.25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tr">
        <f t="shared" si="6"/>
        <v>Adult</v>
      </c>
      <c r="G182" t="s">
        <v>24</v>
      </c>
      <c r="H182" t="s">
        <v>102</v>
      </c>
      <c r="I182" t="s">
        <v>76</v>
      </c>
      <c r="J182" t="s">
        <v>77</v>
      </c>
      <c r="K182">
        <v>7</v>
      </c>
      <c r="L182">
        <v>1481</v>
      </c>
      <c r="M182">
        <v>10367</v>
      </c>
      <c r="N182">
        <f t="shared" si="7"/>
        <v>10367</v>
      </c>
      <c r="O182" t="str">
        <f t="shared" si="8"/>
        <v>Low</v>
      </c>
    </row>
    <row r="183" spans="1:15" x14ac:dyDescent="0.25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tr">
        <f t="shared" si="6"/>
        <v>Senior</v>
      </c>
      <c r="G183" t="s">
        <v>16</v>
      </c>
      <c r="H183" t="s">
        <v>115</v>
      </c>
      <c r="I183" t="s">
        <v>47</v>
      </c>
      <c r="J183" t="s">
        <v>37</v>
      </c>
      <c r="K183">
        <v>8</v>
      </c>
      <c r="L183">
        <v>23129.360000000001</v>
      </c>
      <c r="M183">
        <v>185034.88</v>
      </c>
      <c r="N183">
        <f t="shared" si="7"/>
        <v>185034.88</v>
      </c>
      <c r="O183" t="str">
        <f t="shared" si="8"/>
        <v>Medium</v>
      </c>
    </row>
    <row r="184" spans="1:15" x14ac:dyDescent="0.25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tr">
        <f t="shared" si="6"/>
        <v>Middle Age</v>
      </c>
      <c r="G184" t="s">
        <v>24</v>
      </c>
      <c r="H184" t="s">
        <v>35</v>
      </c>
      <c r="I184" t="s">
        <v>76</v>
      </c>
      <c r="J184" t="s">
        <v>77</v>
      </c>
      <c r="K184">
        <v>2</v>
      </c>
      <c r="L184">
        <v>44336.38</v>
      </c>
      <c r="M184">
        <v>88672.76</v>
      </c>
      <c r="N184">
        <f t="shared" si="7"/>
        <v>88672.76</v>
      </c>
      <c r="O184" t="str">
        <f t="shared" si="8"/>
        <v>Low</v>
      </c>
    </row>
    <row r="185" spans="1:15" x14ac:dyDescent="0.25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tr">
        <f t="shared" si="6"/>
        <v>Adult</v>
      </c>
      <c r="G185" t="s">
        <v>16</v>
      </c>
      <c r="H185" t="s">
        <v>46</v>
      </c>
      <c r="I185" t="s">
        <v>47</v>
      </c>
      <c r="J185" t="s">
        <v>37</v>
      </c>
      <c r="K185">
        <v>5</v>
      </c>
      <c r="L185">
        <v>2983.97</v>
      </c>
      <c r="M185">
        <v>14919.85</v>
      </c>
      <c r="N185">
        <f t="shared" si="7"/>
        <v>14919.849999999999</v>
      </c>
      <c r="O185" t="str">
        <f t="shared" si="8"/>
        <v>Low</v>
      </c>
    </row>
    <row r="186" spans="1:15" x14ac:dyDescent="0.25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tr">
        <f t="shared" si="6"/>
        <v>Middle Age</v>
      </c>
      <c r="G186" t="s">
        <v>24</v>
      </c>
      <c r="H186" t="s">
        <v>102</v>
      </c>
      <c r="I186" t="s">
        <v>76</v>
      </c>
      <c r="J186" t="s">
        <v>77</v>
      </c>
      <c r="K186">
        <v>3</v>
      </c>
      <c r="L186">
        <v>8820.5499999999993</v>
      </c>
      <c r="M186">
        <v>26461.65</v>
      </c>
      <c r="N186">
        <f t="shared" si="7"/>
        <v>26461.649999999998</v>
      </c>
      <c r="O186" t="str">
        <f t="shared" si="8"/>
        <v>Low</v>
      </c>
    </row>
    <row r="187" spans="1:15" x14ac:dyDescent="0.25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tr">
        <f t="shared" si="6"/>
        <v>Senior</v>
      </c>
      <c r="G187" t="s">
        <v>16</v>
      </c>
      <c r="H187" t="s">
        <v>102</v>
      </c>
      <c r="I187" t="s">
        <v>47</v>
      </c>
      <c r="J187" t="s">
        <v>37</v>
      </c>
      <c r="K187">
        <v>1</v>
      </c>
      <c r="L187">
        <v>21001.73</v>
      </c>
      <c r="M187">
        <v>21001.73</v>
      </c>
      <c r="N187">
        <f t="shared" si="7"/>
        <v>21001.73</v>
      </c>
      <c r="O187" t="str">
        <f t="shared" si="8"/>
        <v>Low</v>
      </c>
    </row>
    <row r="188" spans="1:15" x14ac:dyDescent="0.25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tr">
        <f t="shared" si="6"/>
        <v>Adult</v>
      </c>
      <c r="G188" t="s">
        <v>24</v>
      </c>
      <c r="H188" t="s">
        <v>69</v>
      </c>
      <c r="I188" t="s">
        <v>47</v>
      </c>
      <c r="J188" t="s">
        <v>37</v>
      </c>
      <c r="K188">
        <v>9</v>
      </c>
      <c r="L188">
        <v>16767.5</v>
      </c>
      <c r="M188">
        <v>150907.5</v>
      </c>
      <c r="N188">
        <f t="shared" si="7"/>
        <v>150907.5</v>
      </c>
      <c r="O188" t="str">
        <f t="shared" si="8"/>
        <v>Low</v>
      </c>
    </row>
    <row r="189" spans="1:15" x14ac:dyDescent="0.25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tr">
        <f t="shared" si="6"/>
        <v>Adult</v>
      </c>
      <c r="G189" t="s">
        <v>24</v>
      </c>
      <c r="H189" t="s">
        <v>17</v>
      </c>
      <c r="I189" t="s">
        <v>18</v>
      </c>
      <c r="J189" t="s">
        <v>19</v>
      </c>
      <c r="K189">
        <v>3</v>
      </c>
      <c r="L189">
        <v>47959.38</v>
      </c>
      <c r="M189">
        <v>143878.14000000001</v>
      </c>
      <c r="N189">
        <f t="shared" si="7"/>
        <v>143878.13999999998</v>
      </c>
      <c r="O189" t="str">
        <f t="shared" si="8"/>
        <v>Low</v>
      </c>
    </row>
    <row r="190" spans="1:15" x14ac:dyDescent="0.25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tr">
        <f t="shared" si="6"/>
        <v>Middle Age</v>
      </c>
      <c r="G190" t="s">
        <v>16</v>
      </c>
      <c r="H190" t="s">
        <v>69</v>
      </c>
      <c r="I190" t="s">
        <v>76</v>
      </c>
      <c r="J190" t="s">
        <v>77</v>
      </c>
      <c r="K190">
        <v>5</v>
      </c>
      <c r="L190">
        <v>7642.84</v>
      </c>
      <c r="M190">
        <v>38214.199999999997</v>
      </c>
      <c r="N190">
        <f t="shared" si="7"/>
        <v>38214.199999999997</v>
      </c>
      <c r="O190" t="str">
        <f t="shared" si="8"/>
        <v>Low</v>
      </c>
    </row>
    <row r="191" spans="1:15" x14ac:dyDescent="0.25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tr">
        <f t="shared" si="6"/>
        <v>Senior</v>
      </c>
      <c r="G191" t="s">
        <v>16</v>
      </c>
      <c r="H191" t="s">
        <v>69</v>
      </c>
      <c r="I191" t="s">
        <v>47</v>
      </c>
      <c r="J191" t="s">
        <v>37</v>
      </c>
      <c r="K191">
        <v>10</v>
      </c>
      <c r="L191">
        <v>1959.05</v>
      </c>
      <c r="M191">
        <v>19590.5</v>
      </c>
      <c r="N191">
        <f t="shared" si="7"/>
        <v>19590.5</v>
      </c>
      <c r="O191" t="str">
        <f t="shared" si="8"/>
        <v>Low</v>
      </c>
    </row>
    <row r="192" spans="1:15" x14ac:dyDescent="0.25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tr">
        <f t="shared" si="6"/>
        <v>Middle Age</v>
      </c>
      <c r="G192" t="s">
        <v>16</v>
      </c>
      <c r="H192" t="s">
        <v>35</v>
      </c>
      <c r="I192" t="s">
        <v>36</v>
      </c>
      <c r="J192" t="s">
        <v>37</v>
      </c>
      <c r="K192">
        <v>4</v>
      </c>
      <c r="L192">
        <v>26460.39</v>
      </c>
      <c r="M192">
        <v>105841.56</v>
      </c>
      <c r="N192">
        <f t="shared" si="7"/>
        <v>105841.56</v>
      </c>
      <c r="O192" t="str">
        <f t="shared" si="8"/>
        <v>Low</v>
      </c>
    </row>
    <row r="193" spans="1:15" x14ac:dyDescent="0.25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tr">
        <f t="shared" si="6"/>
        <v>Young Adult</v>
      </c>
      <c r="G193" t="s">
        <v>24</v>
      </c>
      <c r="H193" t="s">
        <v>46</v>
      </c>
      <c r="I193" t="s">
        <v>47</v>
      </c>
      <c r="J193" t="s">
        <v>37</v>
      </c>
      <c r="K193">
        <v>6</v>
      </c>
      <c r="L193">
        <v>9132.85</v>
      </c>
      <c r="M193">
        <v>54797.1</v>
      </c>
      <c r="N193">
        <f t="shared" si="7"/>
        <v>54797.100000000006</v>
      </c>
      <c r="O193" t="str">
        <f t="shared" si="8"/>
        <v>Low</v>
      </c>
    </row>
    <row r="194" spans="1:15" x14ac:dyDescent="0.25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tr">
        <f t="shared" si="6"/>
        <v>Young Adult</v>
      </c>
      <c r="G194" t="s">
        <v>24</v>
      </c>
      <c r="H194" t="s">
        <v>115</v>
      </c>
      <c r="I194" t="s">
        <v>25</v>
      </c>
      <c r="J194" t="s">
        <v>26</v>
      </c>
      <c r="K194">
        <v>8</v>
      </c>
      <c r="L194">
        <v>34260.449999999997</v>
      </c>
      <c r="M194">
        <v>274083.59999999998</v>
      </c>
      <c r="N194">
        <f t="shared" si="7"/>
        <v>274083.59999999998</v>
      </c>
      <c r="O194" t="str">
        <f t="shared" si="8"/>
        <v>Medium</v>
      </c>
    </row>
    <row r="195" spans="1:15" x14ac:dyDescent="0.25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tr">
        <f t="shared" ref="F195:F258" si="9">IF(E195&lt;=25,"Young Adult",IF(E195&lt;=40,"Adult",IF(E195&lt;=55,"Middle Age","Senior")))</f>
        <v>Middle Age</v>
      </c>
      <c r="G195" t="s">
        <v>16</v>
      </c>
      <c r="H195" t="s">
        <v>115</v>
      </c>
      <c r="I195" t="s">
        <v>25</v>
      </c>
      <c r="J195" t="s">
        <v>26</v>
      </c>
      <c r="K195">
        <v>4</v>
      </c>
      <c r="L195">
        <v>22321.8</v>
      </c>
      <c r="M195">
        <v>89287.2</v>
      </c>
      <c r="N195">
        <f t="shared" ref="N195:N258" si="10">K195*L195</f>
        <v>89287.2</v>
      </c>
      <c r="O195" t="str">
        <f t="shared" ref="O195:O258" si="11">IF(M195&lt;165000,"Low",IF(M195&lt;=330000,"Medium","High"))</f>
        <v>Low</v>
      </c>
    </row>
    <row r="196" spans="1:15" x14ac:dyDescent="0.25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tr">
        <f t="shared" si="9"/>
        <v>Senior</v>
      </c>
      <c r="G196" t="s">
        <v>24</v>
      </c>
      <c r="H196" t="s">
        <v>60</v>
      </c>
      <c r="I196" t="s">
        <v>25</v>
      </c>
      <c r="J196" t="s">
        <v>26</v>
      </c>
      <c r="K196">
        <v>8</v>
      </c>
      <c r="L196">
        <v>27492.16</v>
      </c>
      <c r="M196">
        <v>219937.28</v>
      </c>
      <c r="N196">
        <f t="shared" si="10"/>
        <v>219937.28</v>
      </c>
      <c r="O196" t="str">
        <f t="shared" si="11"/>
        <v>Medium</v>
      </c>
    </row>
    <row r="197" spans="1:15" x14ac:dyDescent="0.25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tr">
        <f t="shared" si="9"/>
        <v>Young Adult</v>
      </c>
      <c r="G197" t="s">
        <v>16</v>
      </c>
      <c r="H197" t="s">
        <v>69</v>
      </c>
      <c r="I197" t="s">
        <v>76</v>
      </c>
      <c r="J197" t="s">
        <v>77</v>
      </c>
      <c r="K197">
        <v>1</v>
      </c>
      <c r="L197">
        <v>35489.21</v>
      </c>
      <c r="M197">
        <v>35489.21</v>
      </c>
      <c r="N197">
        <f t="shared" si="10"/>
        <v>35489.21</v>
      </c>
      <c r="O197" t="str">
        <f t="shared" si="11"/>
        <v>Low</v>
      </c>
    </row>
    <row r="198" spans="1:15" x14ac:dyDescent="0.25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tr">
        <f t="shared" si="9"/>
        <v>Adult</v>
      </c>
      <c r="G198" t="s">
        <v>24</v>
      </c>
      <c r="H198" t="s">
        <v>51</v>
      </c>
      <c r="I198" t="s">
        <v>47</v>
      </c>
      <c r="J198" t="s">
        <v>37</v>
      </c>
      <c r="K198">
        <v>8</v>
      </c>
      <c r="L198">
        <v>31510.55</v>
      </c>
      <c r="M198">
        <v>252084.4</v>
      </c>
      <c r="N198">
        <f t="shared" si="10"/>
        <v>252084.4</v>
      </c>
      <c r="O198" t="str">
        <f t="shared" si="11"/>
        <v>Medium</v>
      </c>
    </row>
    <row r="199" spans="1:15" x14ac:dyDescent="0.25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tr">
        <f t="shared" si="9"/>
        <v>Adult</v>
      </c>
      <c r="G199" t="s">
        <v>24</v>
      </c>
      <c r="H199" t="s">
        <v>51</v>
      </c>
      <c r="I199" t="s">
        <v>36</v>
      </c>
      <c r="J199" t="s">
        <v>37</v>
      </c>
      <c r="K199">
        <v>1</v>
      </c>
      <c r="L199">
        <v>16633.849999999999</v>
      </c>
      <c r="M199">
        <v>16633.849999999999</v>
      </c>
      <c r="N199">
        <f t="shared" si="10"/>
        <v>16633.849999999999</v>
      </c>
      <c r="O199" t="str">
        <f t="shared" si="11"/>
        <v>Low</v>
      </c>
    </row>
    <row r="200" spans="1:15" x14ac:dyDescent="0.25">
      <c r="A200" t="s">
        <v>745</v>
      </c>
      <c r="B200" t="s">
        <v>746</v>
      </c>
      <c r="C200" t="s">
        <v>747</v>
      </c>
      <c r="D200" t="s">
        <v>748</v>
      </c>
      <c r="E200">
        <v>41</v>
      </c>
      <c r="F200" t="str">
        <f t="shared" si="9"/>
        <v>Middle Age</v>
      </c>
      <c r="G200" t="s">
        <v>16</v>
      </c>
      <c r="H200" t="s">
        <v>35</v>
      </c>
      <c r="I200" t="s">
        <v>18</v>
      </c>
      <c r="J200" t="s">
        <v>19</v>
      </c>
      <c r="K200">
        <v>8</v>
      </c>
      <c r="L200">
        <v>27608.55</v>
      </c>
      <c r="M200">
        <v>220868.4</v>
      </c>
      <c r="N200">
        <f t="shared" si="10"/>
        <v>220868.4</v>
      </c>
      <c r="O200" t="str">
        <f t="shared" si="11"/>
        <v>Medium</v>
      </c>
    </row>
    <row r="201" spans="1:15" x14ac:dyDescent="0.25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tr">
        <f t="shared" si="9"/>
        <v>Middle Age</v>
      </c>
      <c r="G201" t="s">
        <v>16</v>
      </c>
      <c r="H201" t="s">
        <v>51</v>
      </c>
      <c r="I201" t="s">
        <v>18</v>
      </c>
      <c r="J201" t="s">
        <v>19</v>
      </c>
      <c r="K201">
        <v>7</v>
      </c>
      <c r="L201">
        <v>25521.26</v>
      </c>
      <c r="M201">
        <v>178648.82</v>
      </c>
      <c r="N201">
        <f t="shared" si="10"/>
        <v>178648.81999999998</v>
      </c>
      <c r="O201" t="str">
        <f t="shared" si="11"/>
        <v>Medium</v>
      </c>
    </row>
    <row r="202" spans="1:15" x14ac:dyDescent="0.25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tr">
        <f t="shared" si="9"/>
        <v>Senior</v>
      </c>
      <c r="G202" t="s">
        <v>16</v>
      </c>
      <c r="H202" t="s">
        <v>51</v>
      </c>
      <c r="I202" t="s">
        <v>36</v>
      </c>
      <c r="J202" t="s">
        <v>37</v>
      </c>
      <c r="K202">
        <v>4</v>
      </c>
      <c r="L202">
        <v>35658.89</v>
      </c>
      <c r="M202">
        <v>142635.56</v>
      </c>
      <c r="N202">
        <f t="shared" si="10"/>
        <v>142635.56</v>
      </c>
      <c r="O202" t="str">
        <f t="shared" si="11"/>
        <v>Low</v>
      </c>
    </row>
    <row r="203" spans="1:15" x14ac:dyDescent="0.25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tr">
        <f t="shared" si="9"/>
        <v>Senior</v>
      </c>
      <c r="G203" t="s">
        <v>16</v>
      </c>
      <c r="H203" t="s">
        <v>46</v>
      </c>
      <c r="I203" t="s">
        <v>47</v>
      </c>
      <c r="J203" t="s">
        <v>37</v>
      </c>
      <c r="K203">
        <v>8</v>
      </c>
      <c r="L203">
        <v>18088.02</v>
      </c>
      <c r="M203">
        <v>144704.16</v>
      </c>
      <c r="N203">
        <f t="shared" si="10"/>
        <v>144704.16</v>
      </c>
      <c r="O203" t="str">
        <f t="shared" si="11"/>
        <v>Low</v>
      </c>
    </row>
    <row r="204" spans="1:15" x14ac:dyDescent="0.25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tr">
        <f t="shared" si="9"/>
        <v>Middle Age</v>
      </c>
      <c r="G204" t="s">
        <v>16</v>
      </c>
      <c r="H204" t="s">
        <v>60</v>
      </c>
      <c r="I204" t="s">
        <v>25</v>
      </c>
      <c r="J204" t="s">
        <v>26</v>
      </c>
      <c r="K204">
        <v>3</v>
      </c>
      <c r="L204">
        <v>16041.29</v>
      </c>
      <c r="M204">
        <v>48123.87</v>
      </c>
      <c r="N204">
        <f t="shared" si="10"/>
        <v>48123.87</v>
      </c>
      <c r="O204" t="str">
        <f t="shared" si="11"/>
        <v>Low</v>
      </c>
    </row>
    <row r="205" spans="1:15" x14ac:dyDescent="0.25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tr">
        <f t="shared" si="9"/>
        <v>Senior</v>
      </c>
      <c r="G205" t="s">
        <v>16</v>
      </c>
      <c r="H205" t="s">
        <v>35</v>
      </c>
      <c r="I205" t="s">
        <v>76</v>
      </c>
      <c r="J205" t="s">
        <v>77</v>
      </c>
      <c r="K205">
        <v>9</v>
      </c>
      <c r="L205">
        <v>16533.740000000002</v>
      </c>
      <c r="M205">
        <v>148803.66</v>
      </c>
      <c r="N205">
        <f t="shared" si="10"/>
        <v>148803.66</v>
      </c>
      <c r="O205" t="str">
        <f t="shared" si="11"/>
        <v>Low</v>
      </c>
    </row>
    <row r="206" spans="1:15" x14ac:dyDescent="0.25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tr">
        <f t="shared" si="9"/>
        <v>Middle Age</v>
      </c>
      <c r="G206" t="s">
        <v>16</v>
      </c>
      <c r="H206" t="s">
        <v>46</v>
      </c>
      <c r="I206" t="s">
        <v>25</v>
      </c>
      <c r="J206" t="s">
        <v>26</v>
      </c>
      <c r="K206">
        <v>1</v>
      </c>
      <c r="L206">
        <v>16714.64</v>
      </c>
      <c r="M206">
        <v>16714.64</v>
      </c>
      <c r="N206">
        <f t="shared" si="10"/>
        <v>16714.64</v>
      </c>
      <c r="O206" t="str">
        <f t="shared" si="11"/>
        <v>Low</v>
      </c>
    </row>
    <row r="207" spans="1:15" x14ac:dyDescent="0.25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tr">
        <f t="shared" si="9"/>
        <v>Middle Age</v>
      </c>
      <c r="G207" t="s">
        <v>24</v>
      </c>
      <c r="H207" t="s">
        <v>102</v>
      </c>
      <c r="I207" t="s">
        <v>18</v>
      </c>
      <c r="J207" t="s">
        <v>19</v>
      </c>
      <c r="K207">
        <v>4</v>
      </c>
      <c r="L207">
        <v>46356.08</v>
      </c>
      <c r="M207">
        <v>185424.32</v>
      </c>
      <c r="N207">
        <f t="shared" si="10"/>
        <v>185424.32</v>
      </c>
      <c r="O207" t="str">
        <f t="shared" si="11"/>
        <v>Medium</v>
      </c>
    </row>
    <row r="208" spans="1:15" x14ac:dyDescent="0.25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tr">
        <f t="shared" si="9"/>
        <v>Adult</v>
      </c>
      <c r="G208" t="s">
        <v>24</v>
      </c>
      <c r="H208" t="s">
        <v>35</v>
      </c>
      <c r="I208" t="s">
        <v>70</v>
      </c>
      <c r="J208" t="s">
        <v>71</v>
      </c>
      <c r="K208">
        <v>8</v>
      </c>
      <c r="L208">
        <v>2636.28</v>
      </c>
      <c r="M208">
        <v>21090.240000000002</v>
      </c>
      <c r="N208">
        <f t="shared" si="10"/>
        <v>21090.240000000002</v>
      </c>
      <c r="O208" t="str">
        <f t="shared" si="11"/>
        <v>Low</v>
      </c>
    </row>
    <row r="209" spans="1:15" x14ac:dyDescent="0.25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tr">
        <f t="shared" si="9"/>
        <v>Adult</v>
      </c>
      <c r="G209" t="s">
        <v>16</v>
      </c>
      <c r="H209" t="s">
        <v>35</v>
      </c>
      <c r="I209" t="s">
        <v>36</v>
      </c>
      <c r="J209" t="s">
        <v>37</v>
      </c>
      <c r="K209">
        <v>6</v>
      </c>
      <c r="L209">
        <v>34808.76</v>
      </c>
      <c r="M209">
        <v>208852.56</v>
      </c>
      <c r="N209">
        <f t="shared" si="10"/>
        <v>208852.56</v>
      </c>
      <c r="O209" t="str">
        <f t="shared" si="11"/>
        <v>Medium</v>
      </c>
    </row>
    <row r="210" spans="1:15" x14ac:dyDescent="0.25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tr">
        <f t="shared" si="9"/>
        <v>Middle Age</v>
      </c>
      <c r="G210" t="s">
        <v>16</v>
      </c>
      <c r="H210" t="s">
        <v>46</v>
      </c>
      <c r="I210" t="s">
        <v>70</v>
      </c>
      <c r="J210" t="s">
        <v>71</v>
      </c>
      <c r="K210">
        <v>10</v>
      </c>
      <c r="L210">
        <v>17713.87</v>
      </c>
      <c r="M210">
        <v>177138.7</v>
      </c>
      <c r="N210">
        <f t="shared" si="10"/>
        <v>177138.69999999998</v>
      </c>
      <c r="O210" t="str">
        <f t="shared" si="11"/>
        <v>Medium</v>
      </c>
    </row>
    <row r="211" spans="1:15" x14ac:dyDescent="0.25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tr">
        <f t="shared" si="9"/>
        <v>Middle Age</v>
      </c>
      <c r="G211" t="s">
        <v>16</v>
      </c>
      <c r="H211" t="s">
        <v>17</v>
      </c>
      <c r="I211" t="s">
        <v>25</v>
      </c>
      <c r="J211" t="s">
        <v>26</v>
      </c>
      <c r="K211">
        <v>3</v>
      </c>
      <c r="L211">
        <v>4421.33</v>
      </c>
      <c r="M211">
        <v>13263.99</v>
      </c>
      <c r="N211">
        <f t="shared" si="10"/>
        <v>13263.99</v>
      </c>
      <c r="O211" t="str">
        <f t="shared" si="11"/>
        <v>Low</v>
      </c>
    </row>
    <row r="212" spans="1:15" x14ac:dyDescent="0.25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tr">
        <f t="shared" si="9"/>
        <v>Young Adult</v>
      </c>
      <c r="G212" t="s">
        <v>24</v>
      </c>
      <c r="H212" t="s">
        <v>51</v>
      </c>
      <c r="I212" t="s">
        <v>76</v>
      </c>
      <c r="J212" t="s">
        <v>77</v>
      </c>
      <c r="K212">
        <v>1</v>
      </c>
      <c r="L212">
        <v>49067.82</v>
      </c>
      <c r="M212">
        <v>49067.82</v>
      </c>
      <c r="N212">
        <f t="shared" si="10"/>
        <v>49067.82</v>
      </c>
      <c r="O212" t="str">
        <f t="shared" si="11"/>
        <v>Low</v>
      </c>
    </row>
    <row r="213" spans="1:15" x14ac:dyDescent="0.25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tr">
        <f t="shared" si="9"/>
        <v>Adult</v>
      </c>
      <c r="G213" t="s">
        <v>16</v>
      </c>
      <c r="H213" t="s">
        <v>60</v>
      </c>
      <c r="I213" t="s">
        <v>36</v>
      </c>
      <c r="J213" t="s">
        <v>37</v>
      </c>
      <c r="K213">
        <v>6</v>
      </c>
      <c r="L213">
        <v>18644.18</v>
      </c>
      <c r="M213">
        <v>111865.08</v>
      </c>
      <c r="N213">
        <f t="shared" si="10"/>
        <v>111865.08</v>
      </c>
      <c r="O213" t="str">
        <f t="shared" si="11"/>
        <v>Low</v>
      </c>
    </row>
    <row r="214" spans="1:15" x14ac:dyDescent="0.25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tr">
        <f t="shared" si="9"/>
        <v>Adult</v>
      </c>
      <c r="G214" t="s">
        <v>16</v>
      </c>
      <c r="H214" t="s">
        <v>69</v>
      </c>
      <c r="I214" t="s">
        <v>47</v>
      </c>
      <c r="J214" t="s">
        <v>37</v>
      </c>
      <c r="K214">
        <v>9</v>
      </c>
      <c r="L214">
        <v>14462.81</v>
      </c>
      <c r="M214">
        <v>130165.29</v>
      </c>
      <c r="N214">
        <f t="shared" si="10"/>
        <v>130165.29</v>
      </c>
      <c r="O214" t="str">
        <f t="shared" si="11"/>
        <v>Low</v>
      </c>
    </row>
    <row r="215" spans="1:15" x14ac:dyDescent="0.25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tr">
        <f t="shared" si="9"/>
        <v>Middle Age</v>
      </c>
      <c r="G215" t="s">
        <v>16</v>
      </c>
      <c r="H215" t="s">
        <v>46</v>
      </c>
      <c r="I215" t="s">
        <v>70</v>
      </c>
      <c r="J215" t="s">
        <v>71</v>
      </c>
      <c r="K215">
        <v>1</v>
      </c>
      <c r="L215">
        <v>29838.32</v>
      </c>
      <c r="M215">
        <v>29838.32</v>
      </c>
      <c r="N215">
        <f t="shared" si="10"/>
        <v>29838.32</v>
      </c>
      <c r="O215" t="str">
        <f t="shared" si="11"/>
        <v>Low</v>
      </c>
    </row>
    <row r="216" spans="1:15" x14ac:dyDescent="0.25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tr">
        <f t="shared" si="9"/>
        <v>Young Adult</v>
      </c>
      <c r="G216" t="s">
        <v>24</v>
      </c>
      <c r="H216" t="s">
        <v>69</v>
      </c>
      <c r="I216" t="s">
        <v>18</v>
      </c>
      <c r="J216" t="s">
        <v>19</v>
      </c>
      <c r="K216">
        <v>5</v>
      </c>
      <c r="L216">
        <v>9508.4</v>
      </c>
      <c r="M216">
        <v>47542</v>
      </c>
      <c r="N216">
        <f t="shared" si="10"/>
        <v>47542</v>
      </c>
      <c r="O216" t="str">
        <f t="shared" si="11"/>
        <v>Low</v>
      </c>
    </row>
    <row r="217" spans="1:15" x14ac:dyDescent="0.25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tr">
        <f t="shared" si="9"/>
        <v>Senior</v>
      </c>
      <c r="G217" t="s">
        <v>16</v>
      </c>
      <c r="H217" t="s">
        <v>69</v>
      </c>
      <c r="I217" t="s">
        <v>36</v>
      </c>
      <c r="J217" t="s">
        <v>37</v>
      </c>
      <c r="K217">
        <v>4</v>
      </c>
      <c r="L217">
        <v>39054.949999999997</v>
      </c>
      <c r="M217">
        <v>156219.79999999999</v>
      </c>
      <c r="N217">
        <f t="shared" si="10"/>
        <v>156219.79999999999</v>
      </c>
      <c r="O217" t="str">
        <f t="shared" si="11"/>
        <v>Low</v>
      </c>
    </row>
    <row r="218" spans="1:15" x14ac:dyDescent="0.25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tr">
        <f t="shared" si="9"/>
        <v>Adult</v>
      </c>
      <c r="G218" t="s">
        <v>24</v>
      </c>
      <c r="H218" t="s">
        <v>35</v>
      </c>
      <c r="I218" t="s">
        <v>36</v>
      </c>
      <c r="J218" t="s">
        <v>37</v>
      </c>
      <c r="K218">
        <v>6</v>
      </c>
      <c r="L218">
        <v>20308.849999999999</v>
      </c>
      <c r="M218">
        <v>121853.1</v>
      </c>
      <c r="N218">
        <f t="shared" si="10"/>
        <v>121853.09999999999</v>
      </c>
      <c r="O218" t="str">
        <f t="shared" si="11"/>
        <v>Low</v>
      </c>
    </row>
    <row r="219" spans="1:15" x14ac:dyDescent="0.25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tr">
        <f t="shared" si="9"/>
        <v>Young Adult</v>
      </c>
      <c r="G219" t="s">
        <v>16</v>
      </c>
      <c r="H219" t="s">
        <v>46</v>
      </c>
      <c r="I219" t="s">
        <v>18</v>
      </c>
      <c r="J219" t="s">
        <v>19</v>
      </c>
      <c r="K219">
        <v>4</v>
      </c>
      <c r="L219">
        <v>15549.95</v>
      </c>
      <c r="M219">
        <v>62199.8</v>
      </c>
      <c r="N219">
        <f t="shared" si="10"/>
        <v>62199.8</v>
      </c>
      <c r="O219" t="str">
        <f t="shared" si="11"/>
        <v>Low</v>
      </c>
    </row>
    <row r="220" spans="1:15" x14ac:dyDescent="0.25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tr">
        <f t="shared" si="9"/>
        <v>Young Adult</v>
      </c>
      <c r="G220" t="s">
        <v>16</v>
      </c>
      <c r="H220" t="s">
        <v>46</v>
      </c>
      <c r="I220" t="s">
        <v>47</v>
      </c>
      <c r="J220" t="s">
        <v>37</v>
      </c>
      <c r="K220">
        <v>1</v>
      </c>
      <c r="L220">
        <v>34192.300000000003</v>
      </c>
      <c r="M220">
        <v>34192.300000000003</v>
      </c>
      <c r="N220">
        <f t="shared" si="10"/>
        <v>34192.300000000003</v>
      </c>
      <c r="O220" t="str">
        <f t="shared" si="11"/>
        <v>Low</v>
      </c>
    </row>
    <row r="221" spans="1:15" x14ac:dyDescent="0.25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tr">
        <f t="shared" si="9"/>
        <v>Senior</v>
      </c>
      <c r="G221" t="s">
        <v>16</v>
      </c>
      <c r="H221" t="s">
        <v>46</v>
      </c>
      <c r="I221" t="s">
        <v>25</v>
      </c>
      <c r="J221" t="s">
        <v>26</v>
      </c>
      <c r="K221">
        <v>2</v>
      </c>
      <c r="L221">
        <v>12214.1</v>
      </c>
      <c r="M221">
        <v>24428.2</v>
      </c>
      <c r="N221">
        <f t="shared" si="10"/>
        <v>24428.2</v>
      </c>
      <c r="O221" t="str">
        <f t="shared" si="11"/>
        <v>Low</v>
      </c>
    </row>
    <row r="222" spans="1:15" x14ac:dyDescent="0.25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tr">
        <f t="shared" si="9"/>
        <v>Young Adult</v>
      </c>
      <c r="G222" t="s">
        <v>16</v>
      </c>
      <c r="H222" t="s">
        <v>17</v>
      </c>
      <c r="I222" t="s">
        <v>70</v>
      </c>
      <c r="J222" t="s">
        <v>71</v>
      </c>
      <c r="K222">
        <v>10</v>
      </c>
      <c r="L222">
        <v>49086.64</v>
      </c>
      <c r="M222">
        <v>490866.4</v>
      </c>
      <c r="N222">
        <f t="shared" si="10"/>
        <v>490866.4</v>
      </c>
      <c r="O222" t="str">
        <f t="shared" si="11"/>
        <v>High</v>
      </c>
    </row>
    <row r="223" spans="1:15" x14ac:dyDescent="0.25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tr">
        <f t="shared" si="9"/>
        <v>Adult</v>
      </c>
      <c r="G223" t="s">
        <v>16</v>
      </c>
      <c r="H223" t="s">
        <v>17</v>
      </c>
      <c r="I223" t="s">
        <v>36</v>
      </c>
      <c r="J223" t="s">
        <v>37</v>
      </c>
      <c r="K223">
        <v>8</v>
      </c>
      <c r="L223">
        <v>20404.62</v>
      </c>
      <c r="M223">
        <v>163236.96</v>
      </c>
      <c r="N223">
        <f t="shared" si="10"/>
        <v>163236.96</v>
      </c>
      <c r="O223" t="str">
        <f t="shared" si="11"/>
        <v>Low</v>
      </c>
    </row>
    <row r="224" spans="1:15" x14ac:dyDescent="0.25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tr">
        <f t="shared" si="9"/>
        <v>Young Adult</v>
      </c>
      <c r="G224" t="s">
        <v>24</v>
      </c>
      <c r="H224" t="s">
        <v>60</v>
      </c>
      <c r="I224" t="s">
        <v>47</v>
      </c>
      <c r="J224" t="s">
        <v>37</v>
      </c>
      <c r="K224">
        <v>8</v>
      </c>
      <c r="L224">
        <v>49347.28</v>
      </c>
      <c r="M224">
        <v>394778.24</v>
      </c>
      <c r="N224">
        <f t="shared" si="10"/>
        <v>394778.24</v>
      </c>
      <c r="O224" t="str">
        <f t="shared" si="11"/>
        <v>High</v>
      </c>
    </row>
    <row r="225" spans="1:15" x14ac:dyDescent="0.25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tr">
        <f t="shared" si="9"/>
        <v>Adult</v>
      </c>
      <c r="G225" t="s">
        <v>16</v>
      </c>
      <c r="I225" t="s">
        <v>18</v>
      </c>
      <c r="J225" t="s">
        <v>19</v>
      </c>
      <c r="K225">
        <v>1</v>
      </c>
      <c r="L225">
        <v>25336.7</v>
      </c>
      <c r="M225">
        <v>25336.7</v>
      </c>
      <c r="N225">
        <f t="shared" si="10"/>
        <v>25336.7</v>
      </c>
      <c r="O225" t="str">
        <f t="shared" si="11"/>
        <v>Low</v>
      </c>
    </row>
    <row r="226" spans="1:15" x14ac:dyDescent="0.25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tr">
        <f t="shared" si="9"/>
        <v>Middle Age</v>
      </c>
      <c r="G226" t="s">
        <v>16</v>
      </c>
      <c r="H226" t="s">
        <v>115</v>
      </c>
      <c r="I226" t="s">
        <v>18</v>
      </c>
      <c r="J226" t="s">
        <v>19</v>
      </c>
      <c r="K226">
        <v>5</v>
      </c>
      <c r="L226">
        <v>7361.11</v>
      </c>
      <c r="M226">
        <v>36805.550000000003</v>
      </c>
      <c r="N226">
        <f t="shared" si="10"/>
        <v>36805.549999999996</v>
      </c>
      <c r="O226" t="str">
        <f t="shared" si="11"/>
        <v>Low</v>
      </c>
    </row>
    <row r="227" spans="1:15" x14ac:dyDescent="0.25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tr">
        <f t="shared" si="9"/>
        <v>Young Adult</v>
      </c>
      <c r="G227" t="s">
        <v>24</v>
      </c>
      <c r="H227" t="s">
        <v>46</v>
      </c>
      <c r="I227" t="s">
        <v>47</v>
      </c>
      <c r="J227" t="s">
        <v>37</v>
      </c>
      <c r="K227">
        <v>4</v>
      </c>
      <c r="L227">
        <v>33205.94</v>
      </c>
      <c r="M227">
        <v>132823.76</v>
      </c>
      <c r="N227">
        <f t="shared" si="10"/>
        <v>132823.76</v>
      </c>
      <c r="O227" t="str">
        <f t="shared" si="11"/>
        <v>Low</v>
      </c>
    </row>
    <row r="228" spans="1:15" x14ac:dyDescent="0.25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tr">
        <f t="shared" si="9"/>
        <v>Senior</v>
      </c>
      <c r="G228" t="s">
        <v>16</v>
      </c>
      <c r="H228" t="s">
        <v>51</v>
      </c>
      <c r="I228" t="s">
        <v>76</v>
      </c>
      <c r="J228" t="s">
        <v>77</v>
      </c>
      <c r="K228">
        <v>4</v>
      </c>
      <c r="L228">
        <v>21609.52</v>
      </c>
      <c r="M228">
        <v>86438.080000000002</v>
      </c>
      <c r="N228">
        <f t="shared" si="10"/>
        <v>86438.080000000002</v>
      </c>
      <c r="O228" t="str">
        <f t="shared" si="11"/>
        <v>Low</v>
      </c>
    </row>
    <row r="229" spans="1:15" x14ac:dyDescent="0.25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tr">
        <f t="shared" si="9"/>
        <v>Adult</v>
      </c>
      <c r="G229" t="s">
        <v>24</v>
      </c>
      <c r="H229" t="s">
        <v>115</v>
      </c>
      <c r="I229" t="s">
        <v>47</v>
      </c>
      <c r="J229" t="s">
        <v>37</v>
      </c>
      <c r="K229">
        <v>10</v>
      </c>
      <c r="L229">
        <v>33072.39</v>
      </c>
      <c r="M229">
        <v>330723.90000000002</v>
      </c>
      <c r="N229">
        <f t="shared" si="10"/>
        <v>330723.90000000002</v>
      </c>
      <c r="O229" t="str">
        <f t="shared" si="11"/>
        <v>High</v>
      </c>
    </row>
    <row r="230" spans="1:15" x14ac:dyDescent="0.25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tr">
        <f t="shared" si="9"/>
        <v>Senior</v>
      </c>
      <c r="G230" t="s">
        <v>24</v>
      </c>
      <c r="H230" t="s">
        <v>51</v>
      </c>
      <c r="I230" t="s">
        <v>36</v>
      </c>
      <c r="J230" t="s">
        <v>37</v>
      </c>
      <c r="K230">
        <v>6</v>
      </c>
      <c r="L230">
        <v>46679.69</v>
      </c>
      <c r="M230">
        <v>280078.14</v>
      </c>
      <c r="N230">
        <f t="shared" si="10"/>
        <v>280078.14</v>
      </c>
      <c r="O230" t="str">
        <f t="shared" si="11"/>
        <v>Medium</v>
      </c>
    </row>
    <row r="231" spans="1:15" x14ac:dyDescent="0.25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tr">
        <f t="shared" si="9"/>
        <v>Middle Age</v>
      </c>
      <c r="G231" t="s">
        <v>16</v>
      </c>
      <c r="H231" t="s">
        <v>60</v>
      </c>
      <c r="I231" t="s">
        <v>25</v>
      </c>
      <c r="J231" t="s">
        <v>26</v>
      </c>
      <c r="K231">
        <v>3</v>
      </c>
      <c r="L231">
        <v>17931.34</v>
      </c>
      <c r="M231">
        <v>53794.02</v>
      </c>
      <c r="N231">
        <f t="shared" si="10"/>
        <v>53794.020000000004</v>
      </c>
      <c r="O231" t="str">
        <f t="shared" si="11"/>
        <v>Low</v>
      </c>
    </row>
    <row r="232" spans="1:15" x14ac:dyDescent="0.25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tr">
        <f t="shared" si="9"/>
        <v>Senior</v>
      </c>
      <c r="G232" t="s">
        <v>24</v>
      </c>
      <c r="H232" t="s">
        <v>102</v>
      </c>
      <c r="I232" t="s">
        <v>76</v>
      </c>
      <c r="J232" t="s">
        <v>77</v>
      </c>
      <c r="K232">
        <v>4</v>
      </c>
      <c r="L232">
        <v>5518.32</v>
      </c>
      <c r="M232">
        <v>22073.279999999999</v>
      </c>
      <c r="N232">
        <f t="shared" si="10"/>
        <v>22073.279999999999</v>
      </c>
      <c r="O232" t="str">
        <f t="shared" si="11"/>
        <v>Low</v>
      </c>
    </row>
    <row r="233" spans="1:15" x14ac:dyDescent="0.25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tr">
        <f t="shared" si="9"/>
        <v>Senior</v>
      </c>
      <c r="G233" t="s">
        <v>24</v>
      </c>
      <c r="H233" t="s">
        <v>60</v>
      </c>
      <c r="I233" t="s">
        <v>25</v>
      </c>
      <c r="J233" t="s">
        <v>26</v>
      </c>
      <c r="K233">
        <v>7</v>
      </c>
      <c r="L233">
        <v>15331.09</v>
      </c>
      <c r="M233">
        <v>107317.63</v>
      </c>
      <c r="N233">
        <f t="shared" si="10"/>
        <v>107317.63</v>
      </c>
      <c r="O233" t="str">
        <f t="shared" si="11"/>
        <v>Low</v>
      </c>
    </row>
    <row r="234" spans="1:15" x14ac:dyDescent="0.25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tr">
        <f t="shared" si="9"/>
        <v>Senior</v>
      </c>
      <c r="G234" t="s">
        <v>16</v>
      </c>
      <c r="H234" t="s">
        <v>17</v>
      </c>
      <c r="I234" t="s">
        <v>70</v>
      </c>
      <c r="J234" t="s">
        <v>71</v>
      </c>
      <c r="K234">
        <v>1</v>
      </c>
      <c r="L234">
        <v>41626.11</v>
      </c>
      <c r="M234">
        <v>41626.11</v>
      </c>
      <c r="N234">
        <f t="shared" si="10"/>
        <v>41626.11</v>
      </c>
      <c r="O234" t="str">
        <f t="shared" si="11"/>
        <v>Low</v>
      </c>
    </row>
    <row r="235" spans="1:15" x14ac:dyDescent="0.25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tr">
        <f t="shared" si="9"/>
        <v>Middle Age</v>
      </c>
      <c r="G235" t="s">
        <v>16</v>
      </c>
      <c r="H235" t="s">
        <v>17</v>
      </c>
      <c r="I235" t="s">
        <v>76</v>
      </c>
      <c r="J235" t="s">
        <v>77</v>
      </c>
      <c r="K235">
        <v>8</v>
      </c>
      <c r="L235">
        <v>33479.620000000003</v>
      </c>
      <c r="M235">
        <v>267836.96000000002</v>
      </c>
      <c r="N235">
        <f t="shared" si="10"/>
        <v>267836.96000000002</v>
      </c>
      <c r="O235" t="str">
        <f t="shared" si="11"/>
        <v>Medium</v>
      </c>
    </row>
    <row r="236" spans="1:15" x14ac:dyDescent="0.25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tr">
        <f t="shared" si="9"/>
        <v>Senior</v>
      </c>
      <c r="G236" t="s">
        <v>24</v>
      </c>
      <c r="H236" t="s">
        <v>60</v>
      </c>
      <c r="I236" t="s">
        <v>47</v>
      </c>
      <c r="J236" t="s">
        <v>37</v>
      </c>
      <c r="K236">
        <v>9</v>
      </c>
      <c r="L236">
        <v>44135.66</v>
      </c>
      <c r="M236">
        <v>397220.94</v>
      </c>
      <c r="N236">
        <f t="shared" si="10"/>
        <v>397220.94000000006</v>
      </c>
      <c r="O236" t="str">
        <f t="shared" si="11"/>
        <v>High</v>
      </c>
    </row>
    <row r="237" spans="1:15" x14ac:dyDescent="0.25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tr">
        <f t="shared" si="9"/>
        <v>Adult</v>
      </c>
      <c r="G237" t="s">
        <v>24</v>
      </c>
      <c r="H237" t="s">
        <v>17</v>
      </c>
      <c r="I237" t="s">
        <v>36</v>
      </c>
      <c r="J237" t="s">
        <v>37</v>
      </c>
      <c r="K237">
        <v>10</v>
      </c>
      <c r="L237">
        <v>4504.8900000000003</v>
      </c>
      <c r="M237">
        <v>45048.9</v>
      </c>
      <c r="N237">
        <f t="shared" si="10"/>
        <v>45048.9</v>
      </c>
      <c r="O237" t="str">
        <f t="shared" si="11"/>
        <v>Low</v>
      </c>
    </row>
    <row r="238" spans="1:15" x14ac:dyDescent="0.25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tr">
        <f t="shared" si="9"/>
        <v>Adult</v>
      </c>
      <c r="G238" t="s">
        <v>16</v>
      </c>
      <c r="H238" t="s">
        <v>35</v>
      </c>
      <c r="I238" t="s">
        <v>70</v>
      </c>
      <c r="J238" t="s">
        <v>71</v>
      </c>
      <c r="K238">
        <v>7</v>
      </c>
      <c r="L238">
        <v>28710.98</v>
      </c>
      <c r="M238">
        <v>200976.86</v>
      </c>
      <c r="N238">
        <f t="shared" si="10"/>
        <v>200976.86</v>
      </c>
      <c r="O238" t="str">
        <f t="shared" si="11"/>
        <v>Medium</v>
      </c>
    </row>
    <row r="239" spans="1:15" x14ac:dyDescent="0.25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tr">
        <f t="shared" si="9"/>
        <v>Adult</v>
      </c>
      <c r="G239" t="s">
        <v>24</v>
      </c>
      <c r="H239" t="s">
        <v>46</v>
      </c>
      <c r="I239" t="s">
        <v>25</v>
      </c>
      <c r="J239" t="s">
        <v>26</v>
      </c>
      <c r="K239">
        <v>6</v>
      </c>
      <c r="L239">
        <v>25562.3</v>
      </c>
      <c r="M239">
        <v>153373.79999999999</v>
      </c>
      <c r="N239">
        <f t="shared" si="10"/>
        <v>153373.79999999999</v>
      </c>
      <c r="O239" t="str">
        <f t="shared" si="11"/>
        <v>Low</v>
      </c>
    </row>
    <row r="240" spans="1:15" x14ac:dyDescent="0.25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tr">
        <f t="shared" si="9"/>
        <v>Young Adult</v>
      </c>
      <c r="G240" t="s">
        <v>24</v>
      </c>
      <c r="H240" t="s">
        <v>17</v>
      </c>
      <c r="I240" t="s">
        <v>25</v>
      </c>
      <c r="J240" t="s">
        <v>26</v>
      </c>
      <c r="K240">
        <v>3</v>
      </c>
      <c r="L240">
        <v>2860.83</v>
      </c>
      <c r="M240">
        <v>8582.49</v>
      </c>
      <c r="N240">
        <f t="shared" si="10"/>
        <v>8582.49</v>
      </c>
      <c r="O240" t="str">
        <f t="shared" si="11"/>
        <v>Low</v>
      </c>
    </row>
    <row r="241" spans="1:15" x14ac:dyDescent="0.25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tr">
        <f t="shared" si="9"/>
        <v>Adult</v>
      </c>
      <c r="G241" t="s">
        <v>24</v>
      </c>
      <c r="H241" t="s">
        <v>115</v>
      </c>
      <c r="I241" t="s">
        <v>25</v>
      </c>
      <c r="J241" t="s">
        <v>26</v>
      </c>
      <c r="K241">
        <v>4</v>
      </c>
      <c r="L241">
        <v>1486.03</v>
      </c>
      <c r="M241">
        <v>5944.12</v>
      </c>
      <c r="N241">
        <f t="shared" si="10"/>
        <v>5944.12</v>
      </c>
      <c r="O241" t="str">
        <f t="shared" si="11"/>
        <v>Low</v>
      </c>
    </row>
    <row r="242" spans="1:15" x14ac:dyDescent="0.25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tr">
        <f t="shared" si="9"/>
        <v>Adult</v>
      </c>
      <c r="G242" t="s">
        <v>16</v>
      </c>
      <c r="H242" t="s">
        <v>46</v>
      </c>
      <c r="I242" t="s">
        <v>47</v>
      </c>
      <c r="J242" t="s">
        <v>37</v>
      </c>
      <c r="K242">
        <v>8</v>
      </c>
      <c r="L242">
        <v>4159.17</v>
      </c>
      <c r="M242">
        <v>33273.360000000001</v>
      </c>
      <c r="N242">
        <f t="shared" si="10"/>
        <v>33273.360000000001</v>
      </c>
      <c r="O242" t="str">
        <f t="shared" si="11"/>
        <v>Low</v>
      </c>
    </row>
    <row r="243" spans="1:15" x14ac:dyDescent="0.25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tr">
        <f t="shared" si="9"/>
        <v>Young Adult</v>
      </c>
      <c r="G243" t="s">
        <v>16</v>
      </c>
      <c r="H243" t="s">
        <v>17</v>
      </c>
      <c r="I243" t="s">
        <v>25</v>
      </c>
      <c r="J243" t="s">
        <v>26</v>
      </c>
      <c r="K243">
        <v>7</v>
      </c>
      <c r="L243">
        <v>6218.47</v>
      </c>
      <c r="M243">
        <v>43529.29</v>
      </c>
      <c r="N243">
        <f t="shared" si="10"/>
        <v>43529.29</v>
      </c>
      <c r="O243" t="str">
        <f t="shared" si="11"/>
        <v>Low</v>
      </c>
    </row>
    <row r="244" spans="1:15" x14ac:dyDescent="0.25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tr">
        <f t="shared" si="9"/>
        <v>Young Adult</v>
      </c>
      <c r="G244" t="s">
        <v>24</v>
      </c>
      <c r="H244" t="s">
        <v>60</v>
      </c>
      <c r="I244" t="s">
        <v>36</v>
      </c>
      <c r="J244" t="s">
        <v>37</v>
      </c>
      <c r="K244">
        <v>10</v>
      </c>
      <c r="L244">
        <v>29646.26</v>
      </c>
      <c r="M244">
        <v>296462.59999999998</v>
      </c>
      <c r="N244">
        <f t="shared" si="10"/>
        <v>296462.59999999998</v>
      </c>
      <c r="O244" t="str">
        <f t="shared" si="11"/>
        <v>Medium</v>
      </c>
    </row>
    <row r="245" spans="1:15" x14ac:dyDescent="0.25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tr">
        <f t="shared" si="9"/>
        <v>Young Adult</v>
      </c>
      <c r="G245" t="s">
        <v>24</v>
      </c>
      <c r="H245" t="s">
        <v>17</v>
      </c>
      <c r="I245" t="s">
        <v>18</v>
      </c>
      <c r="J245" t="s">
        <v>19</v>
      </c>
      <c r="K245">
        <v>7</v>
      </c>
      <c r="L245">
        <v>10674.88</v>
      </c>
      <c r="M245">
        <v>74724.160000000003</v>
      </c>
      <c r="N245">
        <f t="shared" si="10"/>
        <v>74724.159999999989</v>
      </c>
      <c r="O245" t="str">
        <f t="shared" si="11"/>
        <v>Low</v>
      </c>
    </row>
    <row r="246" spans="1:15" x14ac:dyDescent="0.25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tr">
        <f t="shared" si="9"/>
        <v>Middle Age</v>
      </c>
      <c r="G246" t="s">
        <v>24</v>
      </c>
      <c r="H246" t="s">
        <v>46</v>
      </c>
      <c r="I246" t="s">
        <v>18</v>
      </c>
      <c r="J246" t="s">
        <v>19</v>
      </c>
      <c r="K246">
        <v>4</v>
      </c>
      <c r="L246">
        <v>44577.29</v>
      </c>
      <c r="M246">
        <v>178309.16</v>
      </c>
      <c r="N246">
        <f t="shared" si="10"/>
        <v>178309.16</v>
      </c>
      <c r="O246" t="str">
        <f t="shared" si="11"/>
        <v>Medium</v>
      </c>
    </row>
    <row r="247" spans="1:15" x14ac:dyDescent="0.25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tr">
        <f t="shared" si="9"/>
        <v>Middle Age</v>
      </c>
      <c r="G247" t="s">
        <v>24</v>
      </c>
      <c r="H247" t="s">
        <v>17</v>
      </c>
      <c r="I247" t="s">
        <v>25</v>
      </c>
      <c r="J247" t="s">
        <v>26</v>
      </c>
      <c r="K247">
        <v>6</v>
      </c>
      <c r="L247">
        <v>36587.03</v>
      </c>
      <c r="M247">
        <v>219522.18</v>
      </c>
      <c r="N247">
        <f t="shared" si="10"/>
        <v>219522.18</v>
      </c>
      <c r="O247" t="str">
        <f t="shared" si="11"/>
        <v>Medium</v>
      </c>
    </row>
    <row r="248" spans="1:15" x14ac:dyDescent="0.25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tr">
        <f t="shared" si="9"/>
        <v>Adult</v>
      </c>
      <c r="G248" t="s">
        <v>16</v>
      </c>
      <c r="H248" t="s">
        <v>51</v>
      </c>
      <c r="I248" t="s">
        <v>36</v>
      </c>
      <c r="J248" t="s">
        <v>37</v>
      </c>
      <c r="K248">
        <v>3</v>
      </c>
      <c r="L248">
        <v>25277.79</v>
      </c>
      <c r="M248">
        <v>75833.37</v>
      </c>
      <c r="N248">
        <f t="shared" si="10"/>
        <v>75833.37</v>
      </c>
      <c r="O248" t="str">
        <f t="shared" si="11"/>
        <v>Low</v>
      </c>
    </row>
    <row r="249" spans="1:15" x14ac:dyDescent="0.25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tr">
        <f t="shared" si="9"/>
        <v>Young Adult</v>
      </c>
      <c r="G249" t="s">
        <v>16</v>
      </c>
      <c r="H249" t="s">
        <v>46</v>
      </c>
      <c r="I249" t="s">
        <v>76</v>
      </c>
      <c r="J249" t="s">
        <v>77</v>
      </c>
      <c r="K249">
        <v>10</v>
      </c>
      <c r="L249">
        <v>30855.5</v>
      </c>
      <c r="M249">
        <v>308555</v>
      </c>
      <c r="N249">
        <f t="shared" si="10"/>
        <v>308555</v>
      </c>
      <c r="O249" t="str">
        <f t="shared" si="11"/>
        <v>Medium</v>
      </c>
    </row>
    <row r="250" spans="1:15" x14ac:dyDescent="0.25">
      <c r="A250" t="s">
        <v>900</v>
      </c>
      <c r="B250" t="s">
        <v>901</v>
      </c>
      <c r="C250" t="s">
        <v>902</v>
      </c>
      <c r="D250" t="s">
        <v>903</v>
      </c>
      <c r="E250">
        <v>41</v>
      </c>
      <c r="F250" t="str">
        <f t="shared" si="9"/>
        <v>Middle Age</v>
      </c>
      <c r="G250" t="s">
        <v>16</v>
      </c>
      <c r="H250" t="s">
        <v>69</v>
      </c>
      <c r="I250" t="s">
        <v>36</v>
      </c>
      <c r="J250" t="s">
        <v>37</v>
      </c>
      <c r="K250">
        <v>7</v>
      </c>
      <c r="L250">
        <v>19829.73</v>
      </c>
      <c r="M250">
        <v>138808.10999999999</v>
      </c>
      <c r="N250">
        <f t="shared" si="10"/>
        <v>138808.10999999999</v>
      </c>
      <c r="O250" t="str">
        <f t="shared" si="11"/>
        <v>Low</v>
      </c>
    </row>
    <row r="251" spans="1:15" x14ac:dyDescent="0.25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tr">
        <f t="shared" si="9"/>
        <v>Middle Age</v>
      </c>
      <c r="G251" t="s">
        <v>24</v>
      </c>
      <c r="H251" t="s">
        <v>51</v>
      </c>
      <c r="I251" t="s">
        <v>47</v>
      </c>
      <c r="J251" t="s">
        <v>37</v>
      </c>
      <c r="K251">
        <v>7</v>
      </c>
      <c r="L251">
        <v>46461.17</v>
      </c>
      <c r="M251">
        <v>325228.19</v>
      </c>
      <c r="N251">
        <f t="shared" si="10"/>
        <v>325228.19</v>
      </c>
      <c r="O251" t="str">
        <f t="shared" si="11"/>
        <v>Medium</v>
      </c>
    </row>
    <row r="252" spans="1:15" x14ac:dyDescent="0.25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tr">
        <f t="shared" si="9"/>
        <v>Adult</v>
      </c>
      <c r="G252" t="s">
        <v>24</v>
      </c>
      <c r="H252" t="s">
        <v>46</v>
      </c>
      <c r="I252" t="s">
        <v>25</v>
      </c>
      <c r="J252" t="s">
        <v>26</v>
      </c>
      <c r="K252">
        <v>2</v>
      </c>
      <c r="L252">
        <v>32168.36</v>
      </c>
      <c r="M252">
        <v>64336.72</v>
      </c>
      <c r="N252">
        <f t="shared" si="10"/>
        <v>64336.72</v>
      </c>
      <c r="O252" t="str">
        <f t="shared" si="11"/>
        <v>Low</v>
      </c>
    </row>
    <row r="253" spans="1:15" x14ac:dyDescent="0.25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tr">
        <f t="shared" si="9"/>
        <v>Middle Age</v>
      </c>
      <c r="G253" t="s">
        <v>24</v>
      </c>
      <c r="H253" t="s">
        <v>35</v>
      </c>
      <c r="I253" t="s">
        <v>25</v>
      </c>
      <c r="J253" t="s">
        <v>26</v>
      </c>
      <c r="K253">
        <v>2</v>
      </c>
      <c r="L253">
        <v>1655.36</v>
      </c>
      <c r="M253">
        <v>3310.72</v>
      </c>
      <c r="N253">
        <f t="shared" si="10"/>
        <v>3310.72</v>
      </c>
      <c r="O253" t="str">
        <f t="shared" si="11"/>
        <v>Low</v>
      </c>
    </row>
    <row r="254" spans="1:15" x14ac:dyDescent="0.25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tr">
        <f t="shared" si="9"/>
        <v>Middle Age</v>
      </c>
      <c r="G254" t="s">
        <v>16</v>
      </c>
      <c r="H254" t="s">
        <v>35</v>
      </c>
      <c r="I254" t="s">
        <v>25</v>
      </c>
      <c r="J254" t="s">
        <v>26</v>
      </c>
      <c r="K254">
        <v>4</v>
      </c>
      <c r="L254">
        <v>44463.18</v>
      </c>
      <c r="M254">
        <v>177852.72</v>
      </c>
      <c r="N254">
        <f t="shared" si="10"/>
        <v>177852.72</v>
      </c>
      <c r="O254" t="str">
        <f t="shared" si="11"/>
        <v>Medium</v>
      </c>
    </row>
    <row r="255" spans="1:15" x14ac:dyDescent="0.25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tr">
        <f t="shared" si="9"/>
        <v>Middle Age</v>
      </c>
      <c r="G255" t="s">
        <v>16</v>
      </c>
      <c r="H255" t="s">
        <v>51</v>
      </c>
      <c r="I255" t="s">
        <v>76</v>
      </c>
      <c r="J255" t="s">
        <v>77</v>
      </c>
      <c r="K255">
        <v>6</v>
      </c>
      <c r="L255">
        <v>43576.14</v>
      </c>
      <c r="M255">
        <v>261456.84</v>
      </c>
      <c r="N255">
        <f t="shared" si="10"/>
        <v>261456.84</v>
      </c>
      <c r="O255" t="str">
        <f t="shared" si="11"/>
        <v>Medium</v>
      </c>
    </row>
    <row r="256" spans="1:15" x14ac:dyDescent="0.25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tr">
        <f t="shared" si="9"/>
        <v>Middle Age</v>
      </c>
      <c r="G256" t="s">
        <v>16</v>
      </c>
      <c r="H256" t="s">
        <v>115</v>
      </c>
      <c r="I256" t="s">
        <v>76</v>
      </c>
      <c r="J256" t="s">
        <v>77</v>
      </c>
      <c r="K256">
        <v>1</v>
      </c>
      <c r="L256">
        <v>43789.89</v>
      </c>
      <c r="M256">
        <v>43789.89</v>
      </c>
      <c r="N256">
        <f t="shared" si="10"/>
        <v>43789.89</v>
      </c>
      <c r="O256" t="str">
        <f t="shared" si="11"/>
        <v>Low</v>
      </c>
    </row>
    <row r="257" spans="1:15" x14ac:dyDescent="0.25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tr">
        <f t="shared" si="9"/>
        <v>Senior</v>
      </c>
      <c r="G257" t="s">
        <v>24</v>
      </c>
      <c r="H257" t="s">
        <v>17</v>
      </c>
      <c r="I257" t="s">
        <v>36</v>
      </c>
      <c r="J257" t="s">
        <v>37</v>
      </c>
      <c r="K257">
        <v>1</v>
      </c>
      <c r="L257">
        <v>34757.71</v>
      </c>
      <c r="M257">
        <v>34757.71</v>
      </c>
      <c r="N257">
        <f t="shared" si="10"/>
        <v>34757.71</v>
      </c>
      <c r="O257" t="str">
        <f t="shared" si="11"/>
        <v>Low</v>
      </c>
    </row>
    <row r="258" spans="1:15" x14ac:dyDescent="0.25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tr">
        <f t="shared" si="9"/>
        <v>Middle Age</v>
      </c>
      <c r="G258" t="s">
        <v>24</v>
      </c>
      <c r="H258" t="s">
        <v>115</v>
      </c>
      <c r="I258" t="s">
        <v>76</v>
      </c>
      <c r="J258" t="s">
        <v>77</v>
      </c>
      <c r="K258">
        <v>7</v>
      </c>
      <c r="L258">
        <v>6196.22</v>
      </c>
      <c r="M258">
        <v>43373.54</v>
      </c>
      <c r="N258">
        <f t="shared" si="10"/>
        <v>43373.54</v>
      </c>
      <c r="O258" t="str">
        <f t="shared" si="11"/>
        <v>Low</v>
      </c>
    </row>
    <row r="259" spans="1:15" x14ac:dyDescent="0.25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tr">
        <f t="shared" ref="F259:F322" si="12">IF(E259&lt;=25,"Young Adult",IF(E259&lt;=40,"Adult",IF(E259&lt;=55,"Middle Age","Senior")))</f>
        <v>Adult</v>
      </c>
      <c r="G259" t="s">
        <v>24</v>
      </c>
      <c r="H259" t="s">
        <v>115</v>
      </c>
      <c r="I259" t="s">
        <v>18</v>
      </c>
      <c r="J259" t="s">
        <v>19</v>
      </c>
      <c r="K259">
        <v>8</v>
      </c>
      <c r="L259">
        <v>36364.839999999997</v>
      </c>
      <c r="M259">
        <v>290918.71999999997</v>
      </c>
      <c r="N259">
        <f t="shared" ref="N259:N322" si="13">K259*L259</f>
        <v>290918.71999999997</v>
      </c>
      <c r="O259" t="str">
        <f t="shared" ref="O259:O322" si="14">IF(M259&lt;165000,"Low",IF(M259&lt;=330000,"Medium","High"))</f>
        <v>Medium</v>
      </c>
    </row>
    <row r="260" spans="1:15" x14ac:dyDescent="0.25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tr">
        <f t="shared" si="12"/>
        <v>Adult</v>
      </c>
      <c r="G260" t="s">
        <v>24</v>
      </c>
      <c r="H260" t="s">
        <v>46</v>
      </c>
      <c r="I260" t="s">
        <v>76</v>
      </c>
      <c r="J260" t="s">
        <v>77</v>
      </c>
      <c r="K260">
        <v>3</v>
      </c>
      <c r="L260">
        <v>15948.34</v>
      </c>
      <c r="M260">
        <v>47845.02</v>
      </c>
      <c r="N260">
        <f t="shared" si="13"/>
        <v>47845.020000000004</v>
      </c>
      <c r="O260" t="str">
        <f t="shared" si="14"/>
        <v>Low</v>
      </c>
    </row>
    <row r="261" spans="1:15" x14ac:dyDescent="0.25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tr">
        <f t="shared" si="12"/>
        <v>Young Adult</v>
      </c>
      <c r="G261" t="s">
        <v>24</v>
      </c>
      <c r="H261" t="s">
        <v>102</v>
      </c>
      <c r="I261" t="s">
        <v>76</v>
      </c>
      <c r="J261" t="s">
        <v>77</v>
      </c>
      <c r="K261">
        <v>5</v>
      </c>
      <c r="L261">
        <v>17292.400000000001</v>
      </c>
      <c r="M261">
        <v>86462</v>
      </c>
      <c r="N261">
        <f t="shared" si="13"/>
        <v>86462</v>
      </c>
      <c r="O261" t="str">
        <f t="shared" si="14"/>
        <v>Low</v>
      </c>
    </row>
    <row r="262" spans="1:15" x14ac:dyDescent="0.25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tr">
        <f t="shared" si="12"/>
        <v>Senior</v>
      </c>
      <c r="G262" t="s">
        <v>16</v>
      </c>
      <c r="H262" t="s">
        <v>51</v>
      </c>
      <c r="I262" t="s">
        <v>76</v>
      </c>
      <c r="J262" t="s">
        <v>77</v>
      </c>
      <c r="K262">
        <v>6</v>
      </c>
      <c r="L262">
        <v>29255.02</v>
      </c>
      <c r="M262">
        <v>175530.12</v>
      </c>
      <c r="N262">
        <f t="shared" si="13"/>
        <v>175530.12</v>
      </c>
      <c r="O262" t="str">
        <f t="shared" si="14"/>
        <v>Medium</v>
      </c>
    </row>
    <row r="263" spans="1:15" x14ac:dyDescent="0.25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tr">
        <f t="shared" si="12"/>
        <v>Young Adult</v>
      </c>
      <c r="G263" t="s">
        <v>24</v>
      </c>
      <c r="H263" t="s">
        <v>46</v>
      </c>
      <c r="I263" t="s">
        <v>18</v>
      </c>
      <c r="J263" t="s">
        <v>19</v>
      </c>
      <c r="K263">
        <v>4</v>
      </c>
      <c r="L263">
        <v>25906.46</v>
      </c>
      <c r="M263">
        <v>103625.84</v>
      </c>
      <c r="N263">
        <f t="shared" si="13"/>
        <v>103625.84</v>
      </c>
      <c r="O263" t="str">
        <f t="shared" si="14"/>
        <v>Low</v>
      </c>
    </row>
    <row r="264" spans="1:15" x14ac:dyDescent="0.25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tr">
        <f t="shared" si="12"/>
        <v>Adult</v>
      </c>
      <c r="G264" t="s">
        <v>24</v>
      </c>
      <c r="H264" t="s">
        <v>17</v>
      </c>
      <c r="I264" t="s">
        <v>76</v>
      </c>
      <c r="J264" t="s">
        <v>77</v>
      </c>
      <c r="K264">
        <v>9</v>
      </c>
      <c r="L264">
        <v>6110.1</v>
      </c>
      <c r="M264">
        <v>54990.9</v>
      </c>
      <c r="N264">
        <f t="shared" si="13"/>
        <v>54990.9</v>
      </c>
      <c r="O264" t="str">
        <f t="shared" si="14"/>
        <v>Low</v>
      </c>
    </row>
    <row r="265" spans="1:15" x14ac:dyDescent="0.25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tr">
        <f t="shared" si="12"/>
        <v>Adult</v>
      </c>
      <c r="G265" t="s">
        <v>24</v>
      </c>
      <c r="H265" t="s">
        <v>46</v>
      </c>
      <c r="I265" t="s">
        <v>76</v>
      </c>
      <c r="J265" t="s">
        <v>77</v>
      </c>
      <c r="K265">
        <v>10</v>
      </c>
      <c r="L265">
        <v>36331.75</v>
      </c>
      <c r="M265">
        <v>363317.5</v>
      </c>
      <c r="N265">
        <f t="shared" si="13"/>
        <v>363317.5</v>
      </c>
      <c r="O265" t="str">
        <f t="shared" si="14"/>
        <v>High</v>
      </c>
    </row>
    <row r="266" spans="1:15" x14ac:dyDescent="0.25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tr">
        <f t="shared" si="12"/>
        <v>Adult</v>
      </c>
      <c r="G266" t="s">
        <v>16</v>
      </c>
      <c r="H266" t="s">
        <v>102</v>
      </c>
      <c r="I266" t="s">
        <v>18</v>
      </c>
      <c r="J266" t="s">
        <v>19</v>
      </c>
      <c r="K266">
        <v>8</v>
      </c>
      <c r="L266">
        <v>6459.95</v>
      </c>
      <c r="M266">
        <v>51679.6</v>
      </c>
      <c r="N266">
        <f t="shared" si="13"/>
        <v>51679.6</v>
      </c>
      <c r="O266" t="str">
        <f t="shared" si="14"/>
        <v>Low</v>
      </c>
    </row>
    <row r="267" spans="1:15" x14ac:dyDescent="0.25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tr">
        <f t="shared" si="12"/>
        <v>Young Adult</v>
      </c>
      <c r="G267" t="s">
        <v>16</v>
      </c>
      <c r="H267" t="s">
        <v>17</v>
      </c>
      <c r="I267" t="s">
        <v>25</v>
      </c>
      <c r="J267" t="s">
        <v>26</v>
      </c>
      <c r="K267">
        <v>4</v>
      </c>
      <c r="L267">
        <v>25164.5</v>
      </c>
      <c r="M267">
        <v>100658</v>
      </c>
      <c r="N267">
        <f t="shared" si="13"/>
        <v>100658</v>
      </c>
      <c r="O267" t="str">
        <f t="shared" si="14"/>
        <v>Low</v>
      </c>
    </row>
    <row r="268" spans="1:15" x14ac:dyDescent="0.25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tr">
        <f t="shared" si="12"/>
        <v>Young Adult</v>
      </c>
      <c r="G268" t="s">
        <v>24</v>
      </c>
      <c r="H268" t="s">
        <v>17</v>
      </c>
      <c r="I268" t="s">
        <v>47</v>
      </c>
      <c r="J268" t="s">
        <v>37</v>
      </c>
      <c r="K268">
        <v>5</v>
      </c>
      <c r="L268">
        <v>49665.71</v>
      </c>
      <c r="M268">
        <v>248328.55</v>
      </c>
      <c r="N268">
        <f t="shared" si="13"/>
        <v>248328.55</v>
      </c>
      <c r="O268" t="str">
        <f t="shared" si="14"/>
        <v>Medium</v>
      </c>
    </row>
    <row r="269" spans="1:15" x14ac:dyDescent="0.25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tr">
        <f t="shared" si="12"/>
        <v>Adult</v>
      </c>
      <c r="G269" t="s">
        <v>16</v>
      </c>
      <c r="H269" t="s">
        <v>115</v>
      </c>
      <c r="I269" t="s">
        <v>25</v>
      </c>
      <c r="J269" t="s">
        <v>26</v>
      </c>
      <c r="K269">
        <v>7</v>
      </c>
      <c r="L269">
        <v>13789.53</v>
      </c>
      <c r="M269">
        <v>96526.71</v>
      </c>
      <c r="N269">
        <f t="shared" si="13"/>
        <v>96526.71</v>
      </c>
      <c r="O269" t="str">
        <f t="shared" si="14"/>
        <v>Low</v>
      </c>
    </row>
    <row r="270" spans="1:15" x14ac:dyDescent="0.25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tr">
        <f t="shared" si="12"/>
        <v>Middle Age</v>
      </c>
      <c r="G270" t="s">
        <v>24</v>
      </c>
      <c r="H270" t="s">
        <v>35</v>
      </c>
      <c r="I270" t="s">
        <v>47</v>
      </c>
      <c r="J270" t="s">
        <v>37</v>
      </c>
      <c r="K270">
        <v>5</v>
      </c>
      <c r="L270">
        <v>16404.25</v>
      </c>
      <c r="M270">
        <v>82021.25</v>
      </c>
      <c r="N270">
        <f t="shared" si="13"/>
        <v>82021.25</v>
      </c>
      <c r="O270" t="str">
        <f t="shared" si="14"/>
        <v>Low</v>
      </c>
    </row>
    <row r="271" spans="1:15" x14ac:dyDescent="0.25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tr">
        <f t="shared" si="12"/>
        <v>Middle Age</v>
      </c>
      <c r="G271" t="s">
        <v>24</v>
      </c>
      <c r="H271" t="s">
        <v>115</v>
      </c>
      <c r="I271" t="s">
        <v>25</v>
      </c>
      <c r="J271" t="s">
        <v>26</v>
      </c>
      <c r="K271">
        <v>3</v>
      </c>
      <c r="L271">
        <v>32373.88</v>
      </c>
      <c r="M271">
        <v>97121.64</v>
      </c>
      <c r="N271">
        <f t="shared" si="13"/>
        <v>97121.64</v>
      </c>
      <c r="O271" t="str">
        <f t="shared" si="14"/>
        <v>Low</v>
      </c>
    </row>
    <row r="272" spans="1:15" x14ac:dyDescent="0.25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tr">
        <f t="shared" si="12"/>
        <v>Young Adult</v>
      </c>
      <c r="G272" t="s">
        <v>24</v>
      </c>
      <c r="H272" t="s">
        <v>115</v>
      </c>
      <c r="I272" t="s">
        <v>36</v>
      </c>
      <c r="J272" t="s">
        <v>37</v>
      </c>
      <c r="K272">
        <v>7</v>
      </c>
      <c r="L272">
        <v>21466.959999999999</v>
      </c>
      <c r="M272">
        <v>150268.72</v>
      </c>
      <c r="N272">
        <f t="shared" si="13"/>
        <v>150268.72</v>
      </c>
      <c r="O272" t="str">
        <f t="shared" si="14"/>
        <v>Low</v>
      </c>
    </row>
    <row r="273" spans="1:15" x14ac:dyDescent="0.25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tr">
        <f t="shared" si="12"/>
        <v>Senior</v>
      </c>
      <c r="G273" t="s">
        <v>16</v>
      </c>
      <c r="H273" t="s">
        <v>51</v>
      </c>
      <c r="I273" t="s">
        <v>25</v>
      </c>
      <c r="J273" t="s">
        <v>26</v>
      </c>
      <c r="K273">
        <v>5</v>
      </c>
      <c r="L273">
        <v>47201.84</v>
      </c>
      <c r="M273">
        <v>236009.2</v>
      </c>
      <c r="N273">
        <f t="shared" si="13"/>
        <v>236009.19999999998</v>
      </c>
      <c r="O273" t="str">
        <f t="shared" si="14"/>
        <v>Medium</v>
      </c>
    </row>
    <row r="274" spans="1:15" x14ac:dyDescent="0.25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tr">
        <f t="shared" si="12"/>
        <v>Young Adult</v>
      </c>
      <c r="G274" t="s">
        <v>16</v>
      </c>
      <c r="H274" t="s">
        <v>51</v>
      </c>
      <c r="I274" t="s">
        <v>25</v>
      </c>
      <c r="J274" t="s">
        <v>26</v>
      </c>
      <c r="K274">
        <v>5</v>
      </c>
      <c r="L274">
        <v>36171.660000000003</v>
      </c>
      <c r="M274">
        <v>180858.3</v>
      </c>
      <c r="N274">
        <f t="shared" si="13"/>
        <v>180858.30000000002</v>
      </c>
      <c r="O274" t="str">
        <f t="shared" si="14"/>
        <v>Medium</v>
      </c>
    </row>
    <row r="275" spans="1:15" x14ac:dyDescent="0.25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tr">
        <f t="shared" si="12"/>
        <v>Adult</v>
      </c>
      <c r="G275" t="s">
        <v>16</v>
      </c>
      <c r="H275" t="s">
        <v>51</v>
      </c>
      <c r="I275" t="s">
        <v>47</v>
      </c>
      <c r="J275" t="s">
        <v>37</v>
      </c>
      <c r="K275">
        <v>8</v>
      </c>
      <c r="L275">
        <v>47311.77</v>
      </c>
      <c r="M275">
        <v>378494.16</v>
      </c>
      <c r="N275">
        <f t="shared" si="13"/>
        <v>378494.16</v>
      </c>
      <c r="O275" t="str">
        <f t="shared" si="14"/>
        <v>High</v>
      </c>
    </row>
    <row r="276" spans="1:15" x14ac:dyDescent="0.25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tr">
        <f t="shared" si="12"/>
        <v>Young Adult</v>
      </c>
      <c r="G276" t="s">
        <v>16</v>
      </c>
      <c r="H276" t="s">
        <v>60</v>
      </c>
      <c r="I276" t="s">
        <v>25</v>
      </c>
      <c r="J276" t="s">
        <v>26</v>
      </c>
      <c r="K276">
        <v>9</v>
      </c>
      <c r="L276">
        <v>28865.26</v>
      </c>
      <c r="M276">
        <v>259787.34</v>
      </c>
      <c r="N276">
        <f t="shared" si="13"/>
        <v>259787.34</v>
      </c>
      <c r="O276" t="str">
        <f t="shared" si="14"/>
        <v>Medium</v>
      </c>
    </row>
    <row r="277" spans="1:15" x14ac:dyDescent="0.25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tr">
        <f t="shared" si="12"/>
        <v>Senior</v>
      </c>
      <c r="G277" t="s">
        <v>16</v>
      </c>
      <c r="H277" t="s">
        <v>17</v>
      </c>
      <c r="I277" t="s">
        <v>36</v>
      </c>
      <c r="J277" t="s">
        <v>37</v>
      </c>
      <c r="K277">
        <v>2</v>
      </c>
      <c r="L277">
        <v>48433.7</v>
      </c>
      <c r="M277">
        <v>96867.4</v>
      </c>
      <c r="N277">
        <f t="shared" si="13"/>
        <v>96867.4</v>
      </c>
      <c r="O277" t="str">
        <f t="shared" si="14"/>
        <v>Low</v>
      </c>
    </row>
    <row r="278" spans="1:15" x14ac:dyDescent="0.25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tr">
        <f t="shared" si="12"/>
        <v>Senior</v>
      </c>
      <c r="G278" t="s">
        <v>16</v>
      </c>
      <c r="H278" t="s">
        <v>51</v>
      </c>
      <c r="I278" t="s">
        <v>76</v>
      </c>
      <c r="J278" t="s">
        <v>77</v>
      </c>
      <c r="K278">
        <v>7</v>
      </c>
      <c r="L278">
        <v>7528.42</v>
      </c>
      <c r="M278">
        <v>52698.94</v>
      </c>
      <c r="N278">
        <f t="shared" si="13"/>
        <v>52698.94</v>
      </c>
      <c r="O278" t="str">
        <f t="shared" si="14"/>
        <v>Low</v>
      </c>
    </row>
    <row r="279" spans="1:15" x14ac:dyDescent="0.25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tr">
        <f t="shared" si="12"/>
        <v>Middle Age</v>
      </c>
      <c r="G279" t="s">
        <v>24</v>
      </c>
      <c r="H279" t="s">
        <v>102</v>
      </c>
      <c r="I279" t="s">
        <v>36</v>
      </c>
      <c r="J279" t="s">
        <v>37</v>
      </c>
      <c r="K279">
        <v>4</v>
      </c>
      <c r="L279">
        <v>46629.93</v>
      </c>
      <c r="M279">
        <v>186519.72</v>
      </c>
      <c r="N279">
        <f t="shared" si="13"/>
        <v>186519.72</v>
      </c>
      <c r="O279" t="str">
        <f t="shared" si="14"/>
        <v>Medium</v>
      </c>
    </row>
    <row r="280" spans="1:15" x14ac:dyDescent="0.25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tr">
        <f t="shared" si="12"/>
        <v>Young Adult</v>
      </c>
      <c r="G280" t="s">
        <v>16</v>
      </c>
      <c r="H280" t="s">
        <v>17</v>
      </c>
      <c r="I280" t="s">
        <v>70</v>
      </c>
      <c r="J280" t="s">
        <v>71</v>
      </c>
      <c r="K280">
        <v>3</v>
      </c>
      <c r="L280">
        <v>32403.32</v>
      </c>
      <c r="M280">
        <v>97209.96</v>
      </c>
      <c r="N280">
        <f t="shared" si="13"/>
        <v>97209.959999999992</v>
      </c>
      <c r="O280" t="str">
        <f t="shared" si="14"/>
        <v>Low</v>
      </c>
    </row>
    <row r="281" spans="1:15" x14ac:dyDescent="0.25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tr">
        <f t="shared" si="12"/>
        <v>Young Adult</v>
      </c>
      <c r="G281" t="s">
        <v>24</v>
      </c>
      <c r="H281" t="s">
        <v>69</v>
      </c>
      <c r="I281" t="s">
        <v>36</v>
      </c>
      <c r="J281" t="s">
        <v>37</v>
      </c>
      <c r="K281">
        <v>6</v>
      </c>
      <c r="L281">
        <v>14220.63</v>
      </c>
      <c r="M281">
        <v>85323.78</v>
      </c>
      <c r="N281">
        <f t="shared" si="13"/>
        <v>85323.78</v>
      </c>
      <c r="O281" t="str">
        <f t="shared" si="14"/>
        <v>Low</v>
      </c>
    </row>
    <row r="282" spans="1:15" x14ac:dyDescent="0.25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tr">
        <f t="shared" si="12"/>
        <v>Adult</v>
      </c>
      <c r="G282" t="s">
        <v>16</v>
      </c>
      <c r="H282" t="s">
        <v>69</v>
      </c>
      <c r="I282" t="s">
        <v>47</v>
      </c>
      <c r="J282" t="s">
        <v>37</v>
      </c>
      <c r="K282">
        <v>6</v>
      </c>
      <c r="L282">
        <v>5810.2</v>
      </c>
      <c r="M282">
        <v>34861.199999999997</v>
      </c>
      <c r="N282">
        <f t="shared" si="13"/>
        <v>34861.199999999997</v>
      </c>
      <c r="O282" t="str">
        <f t="shared" si="14"/>
        <v>Low</v>
      </c>
    </row>
    <row r="283" spans="1:15" x14ac:dyDescent="0.25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tr">
        <f t="shared" si="12"/>
        <v>Adult</v>
      </c>
      <c r="G283" t="s">
        <v>16</v>
      </c>
      <c r="H283" t="s">
        <v>35</v>
      </c>
      <c r="I283" t="s">
        <v>47</v>
      </c>
      <c r="J283" t="s">
        <v>37</v>
      </c>
      <c r="K283">
        <v>6</v>
      </c>
      <c r="L283">
        <v>22627.46</v>
      </c>
      <c r="M283">
        <v>135764.76</v>
      </c>
      <c r="N283">
        <f t="shared" si="13"/>
        <v>135764.76</v>
      </c>
      <c r="O283" t="str">
        <f t="shared" si="14"/>
        <v>Low</v>
      </c>
    </row>
    <row r="284" spans="1:15" x14ac:dyDescent="0.25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tr">
        <f t="shared" si="12"/>
        <v>Senior</v>
      </c>
      <c r="G284" t="s">
        <v>16</v>
      </c>
      <c r="H284" t="s">
        <v>60</v>
      </c>
      <c r="I284" t="s">
        <v>36</v>
      </c>
      <c r="J284" t="s">
        <v>37</v>
      </c>
      <c r="K284">
        <v>9</v>
      </c>
      <c r="L284">
        <v>20619.080000000002</v>
      </c>
      <c r="M284">
        <v>185571.72</v>
      </c>
      <c r="N284">
        <f t="shared" si="13"/>
        <v>185571.72000000003</v>
      </c>
      <c r="O284" t="str">
        <f t="shared" si="14"/>
        <v>Medium</v>
      </c>
    </row>
    <row r="285" spans="1:15" x14ac:dyDescent="0.25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tr">
        <f t="shared" si="12"/>
        <v>Young Adult</v>
      </c>
      <c r="G285" t="s">
        <v>24</v>
      </c>
      <c r="H285" t="s">
        <v>46</v>
      </c>
      <c r="I285" t="s">
        <v>70</v>
      </c>
      <c r="J285" t="s">
        <v>71</v>
      </c>
      <c r="K285">
        <v>2</v>
      </c>
      <c r="L285">
        <v>45034.12</v>
      </c>
      <c r="M285">
        <v>90068.24</v>
      </c>
      <c r="N285">
        <f t="shared" si="13"/>
        <v>90068.24</v>
      </c>
      <c r="O285" t="str">
        <f t="shared" si="14"/>
        <v>Low</v>
      </c>
    </row>
    <row r="286" spans="1:15" x14ac:dyDescent="0.25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tr">
        <f t="shared" si="12"/>
        <v>Senior</v>
      </c>
      <c r="G286" t="s">
        <v>16</v>
      </c>
      <c r="H286" t="s">
        <v>46</v>
      </c>
      <c r="I286" t="s">
        <v>18</v>
      </c>
      <c r="J286" t="s">
        <v>19</v>
      </c>
      <c r="K286">
        <v>2</v>
      </c>
      <c r="L286">
        <v>40768.5</v>
      </c>
      <c r="M286">
        <v>81537</v>
      </c>
      <c r="N286">
        <f t="shared" si="13"/>
        <v>81537</v>
      </c>
      <c r="O286" t="str">
        <f t="shared" si="14"/>
        <v>Low</v>
      </c>
    </row>
    <row r="287" spans="1:15" x14ac:dyDescent="0.25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tr">
        <f t="shared" si="12"/>
        <v>Middle Age</v>
      </c>
      <c r="G287" t="s">
        <v>24</v>
      </c>
      <c r="H287" t="s">
        <v>69</v>
      </c>
      <c r="I287" t="s">
        <v>36</v>
      </c>
      <c r="J287" t="s">
        <v>37</v>
      </c>
      <c r="K287">
        <v>3</v>
      </c>
      <c r="L287">
        <v>35888.629999999997</v>
      </c>
      <c r="M287">
        <v>107665.89</v>
      </c>
      <c r="N287">
        <f t="shared" si="13"/>
        <v>107665.88999999998</v>
      </c>
      <c r="O287" t="str">
        <f t="shared" si="14"/>
        <v>Low</v>
      </c>
    </row>
    <row r="288" spans="1:15" x14ac:dyDescent="0.25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tr">
        <f t="shared" si="12"/>
        <v>Middle Age</v>
      </c>
      <c r="G288" t="s">
        <v>24</v>
      </c>
      <c r="H288" t="s">
        <v>69</v>
      </c>
      <c r="I288" t="s">
        <v>47</v>
      </c>
      <c r="J288" t="s">
        <v>37</v>
      </c>
      <c r="K288">
        <v>9</v>
      </c>
      <c r="L288">
        <v>23875.09</v>
      </c>
      <c r="M288">
        <v>214875.81</v>
      </c>
      <c r="N288">
        <f t="shared" si="13"/>
        <v>214875.81</v>
      </c>
      <c r="O288" t="str">
        <f t="shared" si="14"/>
        <v>Medium</v>
      </c>
    </row>
    <row r="289" spans="1:15" x14ac:dyDescent="0.25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tr">
        <f t="shared" si="12"/>
        <v>Adult</v>
      </c>
      <c r="G289" t="s">
        <v>24</v>
      </c>
      <c r="H289" t="s">
        <v>35</v>
      </c>
      <c r="I289" t="s">
        <v>70</v>
      </c>
      <c r="J289" t="s">
        <v>71</v>
      </c>
      <c r="K289">
        <v>2</v>
      </c>
      <c r="L289">
        <v>17100.29</v>
      </c>
      <c r="M289">
        <v>34200.58</v>
      </c>
      <c r="N289">
        <f t="shared" si="13"/>
        <v>34200.58</v>
      </c>
      <c r="O289" t="str">
        <f t="shared" si="14"/>
        <v>Low</v>
      </c>
    </row>
    <row r="290" spans="1:15" x14ac:dyDescent="0.25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tr">
        <f t="shared" si="12"/>
        <v>Middle Age</v>
      </c>
      <c r="G290" t="s">
        <v>24</v>
      </c>
      <c r="H290" t="s">
        <v>60</v>
      </c>
      <c r="I290" t="s">
        <v>76</v>
      </c>
      <c r="J290" t="s">
        <v>77</v>
      </c>
      <c r="K290">
        <v>7</v>
      </c>
      <c r="L290">
        <v>15202.84</v>
      </c>
      <c r="M290">
        <v>106419.88</v>
      </c>
      <c r="N290">
        <f t="shared" si="13"/>
        <v>106419.88</v>
      </c>
      <c r="O290" t="str">
        <f t="shared" si="14"/>
        <v>Low</v>
      </c>
    </row>
    <row r="291" spans="1:15" x14ac:dyDescent="0.25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tr">
        <f t="shared" si="12"/>
        <v>Young Adult</v>
      </c>
      <c r="G291" t="s">
        <v>16</v>
      </c>
      <c r="H291" t="s">
        <v>51</v>
      </c>
      <c r="I291" t="s">
        <v>36</v>
      </c>
      <c r="J291" t="s">
        <v>37</v>
      </c>
      <c r="K291">
        <v>6</v>
      </c>
      <c r="L291">
        <v>17696.96</v>
      </c>
      <c r="M291">
        <v>106181.75999999999</v>
      </c>
      <c r="N291">
        <f t="shared" si="13"/>
        <v>106181.75999999999</v>
      </c>
      <c r="O291" t="str">
        <f t="shared" si="14"/>
        <v>Low</v>
      </c>
    </row>
    <row r="292" spans="1:15" x14ac:dyDescent="0.25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tr">
        <f t="shared" si="12"/>
        <v>Young Adult</v>
      </c>
      <c r="G292" t="s">
        <v>24</v>
      </c>
      <c r="H292" t="s">
        <v>102</v>
      </c>
      <c r="I292" t="s">
        <v>18</v>
      </c>
      <c r="J292" t="s">
        <v>19</v>
      </c>
      <c r="K292">
        <v>6</v>
      </c>
      <c r="L292">
        <v>13138.1</v>
      </c>
      <c r="M292">
        <v>78828.600000000006</v>
      </c>
      <c r="N292">
        <f t="shared" si="13"/>
        <v>78828.600000000006</v>
      </c>
      <c r="O292" t="str">
        <f t="shared" si="14"/>
        <v>Low</v>
      </c>
    </row>
    <row r="293" spans="1:15" x14ac:dyDescent="0.25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tr">
        <f t="shared" si="12"/>
        <v>Middle Age</v>
      </c>
      <c r="G293" t="s">
        <v>16</v>
      </c>
      <c r="H293" t="s">
        <v>35</v>
      </c>
      <c r="I293" t="s">
        <v>25</v>
      </c>
      <c r="J293" t="s">
        <v>26</v>
      </c>
      <c r="K293">
        <v>5</v>
      </c>
      <c r="L293">
        <v>3842.06</v>
      </c>
      <c r="M293">
        <v>19210.3</v>
      </c>
      <c r="N293">
        <f t="shared" si="13"/>
        <v>19210.3</v>
      </c>
      <c r="O293" t="str">
        <f t="shared" si="14"/>
        <v>Low</v>
      </c>
    </row>
    <row r="294" spans="1:15" x14ac:dyDescent="0.25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tr">
        <f t="shared" si="12"/>
        <v>Middle Age</v>
      </c>
      <c r="G294" t="s">
        <v>16</v>
      </c>
      <c r="H294" t="s">
        <v>46</v>
      </c>
      <c r="I294" t="s">
        <v>18</v>
      </c>
      <c r="J294" t="s">
        <v>19</v>
      </c>
      <c r="K294">
        <v>4</v>
      </c>
      <c r="L294">
        <v>6495.5</v>
      </c>
      <c r="M294">
        <v>25982</v>
      </c>
      <c r="N294">
        <f t="shared" si="13"/>
        <v>25982</v>
      </c>
      <c r="O294" t="str">
        <f t="shared" si="14"/>
        <v>Low</v>
      </c>
    </row>
    <row r="295" spans="1:15" x14ac:dyDescent="0.25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tr">
        <f t="shared" si="12"/>
        <v>Young Adult</v>
      </c>
      <c r="G295" t="s">
        <v>16</v>
      </c>
      <c r="H295" t="s">
        <v>17</v>
      </c>
      <c r="I295" t="s">
        <v>25</v>
      </c>
      <c r="J295" t="s">
        <v>26</v>
      </c>
      <c r="K295">
        <v>4</v>
      </c>
      <c r="L295">
        <v>43207.48</v>
      </c>
      <c r="M295">
        <v>172829.92</v>
      </c>
      <c r="N295">
        <f t="shared" si="13"/>
        <v>172829.92</v>
      </c>
      <c r="O295" t="str">
        <f t="shared" si="14"/>
        <v>Medium</v>
      </c>
    </row>
    <row r="296" spans="1:15" x14ac:dyDescent="0.25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tr">
        <f t="shared" si="12"/>
        <v>Adult</v>
      </c>
      <c r="G296" t="s">
        <v>16</v>
      </c>
      <c r="H296" t="s">
        <v>46</v>
      </c>
      <c r="I296" t="s">
        <v>25</v>
      </c>
      <c r="J296" t="s">
        <v>26</v>
      </c>
      <c r="K296">
        <v>4</v>
      </c>
      <c r="L296">
        <v>49876.67</v>
      </c>
      <c r="M296">
        <v>199506.68</v>
      </c>
      <c r="N296">
        <f t="shared" si="13"/>
        <v>199506.68</v>
      </c>
      <c r="O296" t="str">
        <f t="shared" si="14"/>
        <v>Medium</v>
      </c>
    </row>
    <row r="297" spans="1:15" x14ac:dyDescent="0.25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tr">
        <f t="shared" si="12"/>
        <v>Young Adult</v>
      </c>
      <c r="G297" t="s">
        <v>24</v>
      </c>
      <c r="H297" t="s">
        <v>60</v>
      </c>
      <c r="I297" t="s">
        <v>76</v>
      </c>
      <c r="J297" t="s">
        <v>77</v>
      </c>
      <c r="K297">
        <v>1</v>
      </c>
      <c r="L297">
        <v>2599.12</v>
      </c>
      <c r="M297">
        <v>2599.12</v>
      </c>
      <c r="N297">
        <f t="shared" si="13"/>
        <v>2599.12</v>
      </c>
      <c r="O297" t="str">
        <f t="shared" si="14"/>
        <v>Low</v>
      </c>
    </row>
    <row r="298" spans="1:15" x14ac:dyDescent="0.25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tr">
        <f t="shared" si="12"/>
        <v>Adult</v>
      </c>
      <c r="G298" t="s">
        <v>16</v>
      </c>
      <c r="H298" t="s">
        <v>115</v>
      </c>
      <c r="I298" t="s">
        <v>36</v>
      </c>
      <c r="J298" t="s">
        <v>37</v>
      </c>
      <c r="K298">
        <v>4</v>
      </c>
      <c r="L298">
        <v>6652.95</v>
      </c>
      <c r="M298">
        <v>26611.8</v>
      </c>
      <c r="N298">
        <f t="shared" si="13"/>
        <v>26611.8</v>
      </c>
      <c r="O298" t="str">
        <f t="shared" si="14"/>
        <v>Low</v>
      </c>
    </row>
    <row r="299" spans="1:15" x14ac:dyDescent="0.25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tr">
        <f t="shared" si="12"/>
        <v>Adult</v>
      </c>
      <c r="G299" t="s">
        <v>24</v>
      </c>
      <c r="H299" t="s">
        <v>69</v>
      </c>
      <c r="I299" t="s">
        <v>47</v>
      </c>
      <c r="J299" t="s">
        <v>37</v>
      </c>
      <c r="K299">
        <v>4</v>
      </c>
      <c r="L299">
        <v>20533.23</v>
      </c>
      <c r="M299">
        <v>82132.92</v>
      </c>
      <c r="N299">
        <f t="shared" si="13"/>
        <v>82132.92</v>
      </c>
      <c r="O299" t="str">
        <f t="shared" si="14"/>
        <v>Low</v>
      </c>
    </row>
    <row r="300" spans="1:15" x14ac:dyDescent="0.25">
      <c r="A300" t="s">
        <v>1055</v>
      </c>
      <c r="B300" t="s">
        <v>680</v>
      </c>
      <c r="C300" t="s">
        <v>1056</v>
      </c>
      <c r="D300" t="s">
        <v>1057</v>
      </c>
      <c r="E300">
        <v>41</v>
      </c>
      <c r="F300" t="str">
        <f t="shared" si="12"/>
        <v>Middle Age</v>
      </c>
      <c r="G300" t="s">
        <v>24</v>
      </c>
      <c r="I300" t="s">
        <v>76</v>
      </c>
      <c r="J300" t="s">
        <v>77</v>
      </c>
      <c r="K300">
        <v>6</v>
      </c>
      <c r="L300">
        <v>28595.31</v>
      </c>
      <c r="M300">
        <v>171571.86</v>
      </c>
      <c r="N300">
        <f t="shared" si="13"/>
        <v>171571.86000000002</v>
      </c>
      <c r="O300" t="str">
        <f t="shared" si="14"/>
        <v>Medium</v>
      </c>
    </row>
    <row r="301" spans="1:15" x14ac:dyDescent="0.25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tr">
        <f t="shared" si="12"/>
        <v>Adult</v>
      </c>
      <c r="G301" t="s">
        <v>24</v>
      </c>
      <c r="H301" t="s">
        <v>35</v>
      </c>
      <c r="I301" t="s">
        <v>36</v>
      </c>
      <c r="J301" t="s">
        <v>37</v>
      </c>
      <c r="K301">
        <v>5</v>
      </c>
      <c r="L301">
        <v>9509.1299999999992</v>
      </c>
      <c r="M301">
        <v>47545.65</v>
      </c>
      <c r="N301">
        <f t="shared" si="13"/>
        <v>47545.649999999994</v>
      </c>
      <c r="O301" t="str">
        <f t="shared" si="14"/>
        <v>Low</v>
      </c>
    </row>
    <row r="302" spans="1:15" x14ac:dyDescent="0.25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tr">
        <f t="shared" si="12"/>
        <v>Adult</v>
      </c>
      <c r="G302" t="s">
        <v>24</v>
      </c>
      <c r="H302" t="s">
        <v>51</v>
      </c>
      <c r="I302" t="s">
        <v>76</v>
      </c>
      <c r="J302" t="s">
        <v>77</v>
      </c>
      <c r="K302">
        <v>7</v>
      </c>
      <c r="L302">
        <v>1106.55</v>
      </c>
      <c r="M302">
        <v>7745.85</v>
      </c>
      <c r="N302">
        <f t="shared" si="13"/>
        <v>7745.8499999999995</v>
      </c>
      <c r="O302" t="str">
        <f t="shared" si="14"/>
        <v>Low</v>
      </c>
    </row>
    <row r="303" spans="1:15" x14ac:dyDescent="0.25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tr">
        <f t="shared" si="12"/>
        <v>Adult</v>
      </c>
      <c r="G303" t="s">
        <v>24</v>
      </c>
      <c r="H303" t="s">
        <v>51</v>
      </c>
      <c r="I303" t="s">
        <v>70</v>
      </c>
      <c r="J303" t="s">
        <v>71</v>
      </c>
      <c r="K303">
        <v>6</v>
      </c>
      <c r="L303">
        <v>39075.07</v>
      </c>
      <c r="M303">
        <v>234450.42</v>
      </c>
      <c r="N303">
        <f t="shared" si="13"/>
        <v>234450.41999999998</v>
      </c>
      <c r="O303" t="str">
        <f t="shared" si="14"/>
        <v>Medium</v>
      </c>
    </row>
    <row r="304" spans="1:15" x14ac:dyDescent="0.25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tr">
        <f t="shared" si="12"/>
        <v>Young Adult</v>
      </c>
      <c r="G304" t="s">
        <v>16</v>
      </c>
      <c r="H304" t="s">
        <v>102</v>
      </c>
      <c r="I304" t="s">
        <v>76</v>
      </c>
      <c r="J304" t="s">
        <v>77</v>
      </c>
      <c r="K304">
        <v>7</v>
      </c>
      <c r="L304">
        <v>7046.4</v>
      </c>
      <c r="M304">
        <v>49324.800000000003</v>
      </c>
      <c r="N304">
        <f t="shared" si="13"/>
        <v>49324.799999999996</v>
      </c>
      <c r="O304" t="str">
        <f t="shared" si="14"/>
        <v>Low</v>
      </c>
    </row>
    <row r="305" spans="1:15" x14ac:dyDescent="0.25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tr">
        <f t="shared" si="12"/>
        <v>Adult</v>
      </c>
      <c r="G305" t="s">
        <v>24</v>
      </c>
      <c r="H305" t="s">
        <v>51</v>
      </c>
      <c r="I305" t="s">
        <v>70</v>
      </c>
      <c r="J305" t="s">
        <v>71</v>
      </c>
      <c r="K305">
        <v>5</v>
      </c>
      <c r="L305">
        <v>40763.949999999997</v>
      </c>
      <c r="M305">
        <v>203819.75</v>
      </c>
      <c r="N305">
        <f t="shared" si="13"/>
        <v>203819.75</v>
      </c>
      <c r="O305" t="str">
        <f t="shared" si="14"/>
        <v>Medium</v>
      </c>
    </row>
    <row r="306" spans="1:15" x14ac:dyDescent="0.25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tr">
        <f t="shared" si="12"/>
        <v>Middle Age</v>
      </c>
      <c r="G306" t="s">
        <v>16</v>
      </c>
      <c r="H306" t="s">
        <v>51</v>
      </c>
      <c r="I306" t="s">
        <v>70</v>
      </c>
      <c r="J306" t="s">
        <v>71</v>
      </c>
      <c r="K306">
        <v>1</v>
      </c>
      <c r="L306">
        <v>3727.43</v>
      </c>
      <c r="M306">
        <v>3727.43</v>
      </c>
      <c r="N306">
        <f t="shared" si="13"/>
        <v>3727.43</v>
      </c>
      <c r="O306" t="str">
        <f t="shared" si="14"/>
        <v>Low</v>
      </c>
    </row>
    <row r="307" spans="1:15" x14ac:dyDescent="0.25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tr">
        <f t="shared" si="12"/>
        <v>Middle Age</v>
      </c>
      <c r="G307" t="s">
        <v>24</v>
      </c>
      <c r="H307" t="s">
        <v>51</v>
      </c>
      <c r="I307" t="s">
        <v>18</v>
      </c>
      <c r="J307" t="s">
        <v>19</v>
      </c>
      <c r="K307">
        <v>4</v>
      </c>
      <c r="L307">
        <v>46771.94</v>
      </c>
      <c r="M307">
        <v>187087.76</v>
      </c>
      <c r="N307">
        <f t="shared" si="13"/>
        <v>187087.76</v>
      </c>
      <c r="O307" t="str">
        <f t="shared" si="14"/>
        <v>Medium</v>
      </c>
    </row>
    <row r="308" spans="1:15" x14ac:dyDescent="0.25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tr">
        <f t="shared" si="12"/>
        <v>Middle Age</v>
      </c>
      <c r="G308" t="s">
        <v>24</v>
      </c>
      <c r="H308" t="s">
        <v>35</v>
      </c>
      <c r="I308" t="s">
        <v>25</v>
      </c>
      <c r="J308" t="s">
        <v>26</v>
      </c>
      <c r="K308">
        <v>7</v>
      </c>
      <c r="L308">
        <v>43207.91</v>
      </c>
      <c r="M308">
        <v>302455.37</v>
      </c>
      <c r="N308">
        <f t="shared" si="13"/>
        <v>302455.37</v>
      </c>
      <c r="O308" t="str">
        <f t="shared" si="14"/>
        <v>Medium</v>
      </c>
    </row>
    <row r="309" spans="1:15" x14ac:dyDescent="0.25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tr">
        <f t="shared" si="12"/>
        <v>Middle Age</v>
      </c>
      <c r="G309" t="s">
        <v>16</v>
      </c>
      <c r="H309" t="s">
        <v>51</v>
      </c>
      <c r="I309" t="s">
        <v>25</v>
      </c>
      <c r="J309" t="s">
        <v>26</v>
      </c>
      <c r="K309">
        <v>3</v>
      </c>
      <c r="L309">
        <v>5803.11</v>
      </c>
      <c r="M309">
        <v>17409.330000000002</v>
      </c>
      <c r="N309">
        <f t="shared" si="13"/>
        <v>17409.329999999998</v>
      </c>
      <c r="O309" t="str">
        <f t="shared" si="14"/>
        <v>Low</v>
      </c>
    </row>
    <row r="310" spans="1:15" x14ac:dyDescent="0.25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tr">
        <f t="shared" si="12"/>
        <v>Adult</v>
      </c>
      <c r="G310" t="s">
        <v>24</v>
      </c>
      <c r="H310" t="s">
        <v>69</v>
      </c>
      <c r="I310" t="s">
        <v>25</v>
      </c>
      <c r="J310" t="s">
        <v>26</v>
      </c>
      <c r="K310">
        <v>4</v>
      </c>
      <c r="L310">
        <v>30974.95</v>
      </c>
      <c r="M310">
        <v>123899.8</v>
      </c>
      <c r="N310">
        <f t="shared" si="13"/>
        <v>123899.8</v>
      </c>
      <c r="O310" t="str">
        <f t="shared" si="14"/>
        <v>Low</v>
      </c>
    </row>
    <row r="311" spans="1:15" x14ac:dyDescent="0.25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tr">
        <f t="shared" si="12"/>
        <v>Senior</v>
      </c>
      <c r="G311" t="s">
        <v>24</v>
      </c>
      <c r="H311" t="s">
        <v>46</v>
      </c>
      <c r="I311" t="s">
        <v>70</v>
      </c>
      <c r="J311" t="s">
        <v>71</v>
      </c>
      <c r="K311">
        <v>4</v>
      </c>
      <c r="L311">
        <v>40276.76</v>
      </c>
      <c r="M311">
        <v>161107.04</v>
      </c>
      <c r="N311">
        <f t="shared" si="13"/>
        <v>161107.04</v>
      </c>
      <c r="O311" t="str">
        <f t="shared" si="14"/>
        <v>Low</v>
      </c>
    </row>
    <row r="312" spans="1:15" x14ac:dyDescent="0.25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tr">
        <f t="shared" si="12"/>
        <v>Senior</v>
      </c>
      <c r="G312" t="s">
        <v>24</v>
      </c>
      <c r="H312" t="s">
        <v>46</v>
      </c>
      <c r="I312" t="s">
        <v>36</v>
      </c>
      <c r="J312" t="s">
        <v>37</v>
      </c>
      <c r="K312">
        <v>8</v>
      </c>
      <c r="L312">
        <v>17270.72</v>
      </c>
      <c r="M312">
        <v>138165.76000000001</v>
      </c>
      <c r="N312">
        <f t="shared" si="13"/>
        <v>138165.76000000001</v>
      </c>
      <c r="O312" t="str">
        <f t="shared" si="14"/>
        <v>Low</v>
      </c>
    </row>
    <row r="313" spans="1:15" x14ac:dyDescent="0.25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tr">
        <f t="shared" si="12"/>
        <v>Senior</v>
      </c>
      <c r="G313" t="s">
        <v>16</v>
      </c>
      <c r="H313" t="s">
        <v>46</v>
      </c>
      <c r="I313" t="s">
        <v>25</v>
      </c>
      <c r="J313" t="s">
        <v>26</v>
      </c>
      <c r="K313">
        <v>6</v>
      </c>
      <c r="L313">
        <v>8249.36</v>
      </c>
      <c r="M313">
        <v>49496.160000000003</v>
      </c>
      <c r="N313">
        <f t="shared" si="13"/>
        <v>49496.160000000003</v>
      </c>
      <c r="O313" t="str">
        <f t="shared" si="14"/>
        <v>Low</v>
      </c>
    </row>
    <row r="314" spans="1:15" x14ac:dyDescent="0.25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tr">
        <f t="shared" si="12"/>
        <v>Middle Age</v>
      </c>
      <c r="G314" t="s">
        <v>16</v>
      </c>
      <c r="H314" t="s">
        <v>17</v>
      </c>
      <c r="I314" t="s">
        <v>36</v>
      </c>
      <c r="J314" t="s">
        <v>37</v>
      </c>
      <c r="K314">
        <v>8</v>
      </c>
      <c r="L314">
        <v>42935.06</v>
      </c>
      <c r="M314">
        <v>343480.48</v>
      </c>
      <c r="N314">
        <f t="shared" si="13"/>
        <v>343480.48</v>
      </c>
      <c r="O314" t="str">
        <f t="shared" si="14"/>
        <v>High</v>
      </c>
    </row>
    <row r="315" spans="1:15" x14ac:dyDescent="0.25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tr">
        <f t="shared" si="12"/>
        <v>Middle Age</v>
      </c>
      <c r="G315" t="s">
        <v>16</v>
      </c>
      <c r="H315" t="s">
        <v>69</v>
      </c>
      <c r="I315" t="s">
        <v>47</v>
      </c>
      <c r="J315" t="s">
        <v>37</v>
      </c>
      <c r="K315">
        <v>8</v>
      </c>
      <c r="L315">
        <v>1722.06</v>
      </c>
      <c r="M315">
        <v>13776.48</v>
      </c>
      <c r="N315">
        <f t="shared" si="13"/>
        <v>13776.48</v>
      </c>
      <c r="O315" t="str">
        <f t="shared" si="14"/>
        <v>Low</v>
      </c>
    </row>
    <row r="316" spans="1:15" x14ac:dyDescent="0.25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tr">
        <f t="shared" si="12"/>
        <v>Adult</v>
      </c>
      <c r="G316" t="s">
        <v>24</v>
      </c>
      <c r="H316" t="s">
        <v>115</v>
      </c>
      <c r="I316" t="s">
        <v>36</v>
      </c>
      <c r="J316" t="s">
        <v>37</v>
      </c>
      <c r="K316">
        <v>5</v>
      </c>
      <c r="L316">
        <v>25857.91</v>
      </c>
      <c r="M316">
        <v>129289.55</v>
      </c>
      <c r="N316">
        <f t="shared" si="13"/>
        <v>129289.55</v>
      </c>
      <c r="O316" t="str">
        <f t="shared" si="14"/>
        <v>Low</v>
      </c>
    </row>
    <row r="317" spans="1:15" x14ac:dyDescent="0.25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tr">
        <f t="shared" si="12"/>
        <v>Adult</v>
      </c>
      <c r="G317" t="s">
        <v>16</v>
      </c>
      <c r="H317" t="s">
        <v>46</v>
      </c>
      <c r="I317" t="s">
        <v>25</v>
      </c>
      <c r="J317" t="s">
        <v>26</v>
      </c>
      <c r="K317">
        <v>4</v>
      </c>
      <c r="L317">
        <v>47319.13</v>
      </c>
      <c r="M317">
        <v>189276.52</v>
      </c>
      <c r="N317">
        <f t="shared" si="13"/>
        <v>189276.52</v>
      </c>
      <c r="O317" t="str">
        <f t="shared" si="14"/>
        <v>Medium</v>
      </c>
    </row>
    <row r="318" spans="1:15" x14ac:dyDescent="0.25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tr">
        <f t="shared" si="12"/>
        <v>Middle Age</v>
      </c>
      <c r="G318" t="s">
        <v>24</v>
      </c>
      <c r="H318" t="s">
        <v>35</v>
      </c>
      <c r="I318" t="s">
        <v>36</v>
      </c>
      <c r="J318" t="s">
        <v>37</v>
      </c>
      <c r="K318">
        <v>2</v>
      </c>
      <c r="L318">
        <v>21816.67</v>
      </c>
      <c r="M318">
        <v>43633.34</v>
      </c>
      <c r="N318">
        <f t="shared" si="13"/>
        <v>43633.34</v>
      </c>
      <c r="O318" t="str">
        <f t="shared" si="14"/>
        <v>Low</v>
      </c>
    </row>
    <row r="319" spans="1:15" x14ac:dyDescent="0.25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tr">
        <f t="shared" si="12"/>
        <v>Middle Age</v>
      </c>
      <c r="G319" t="s">
        <v>16</v>
      </c>
      <c r="H319" t="s">
        <v>51</v>
      </c>
      <c r="I319" t="s">
        <v>70</v>
      </c>
      <c r="J319" t="s">
        <v>71</v>
      </c>
      <c r="K319">
        <v>3</v>
      </c>
      <c r="L319">
        <v>10075.98</v>
      </c>
      <c r="M319">
        <v>30227.94</v>
      </c>
      <c r="N319">
        <f t="shared" si="13"/>
        <v>30227.94</v>
      </c>
      <c r="O319" t="str">
        <f t="shared" si="14"/>
        <v>Low</v>
      </c>
    </row>
    <row r="320" spans="1:15" x14ac:dyDescent="0.25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tr">
        <f t="shared" si="12"/>
        <v>Middle Age</v>
      </c>
      <c r="G320" t="s">
        <v>24</v>
      </c>
      <c r="H320" t="s">
        <v>60</v>
      </c>
      <c r="I320" t="s">
        <v>47</v>
      </c>
      <c r="J320" t="s">
        <v>37</v>
      </c>
      <c r="K320">
        <v>9</v>
      </c>
      <c r="L320">
        <v>22182.44</v>
      </c>
      <c r="M320">
        <v>199641.96</v>
      </c>
      <c r="N320">
        <f t="shared" si="13"/>
        <v>199641.96</v>
      </c>
      <c r="O320" t="str">
        <f t="shared" si="14"/>
        <v>Medium</v>
      </c>
    </row>
    <row r="321" spans="1:15" x14ac:dyDescent="0.25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tr">
        <f t="shared" si="12"/>
        <v>Middle Age</v>
      </c>
      <c r="G321" t="s">
        <v>24</v>
      </c>
      <c r="H321" t="s">
        <v>60</v>
      </c>
      <c r="I321" t="s">
        <v>25</v>
      </c>
      <c r="J321" t="s">
        <v>26</v>
      </c>
      <c r="K321">
        <v>6</v>
      </c>
      <c r="L321">
        <v>35006.300000000003</v>
      </c>
      <c r="M321">
        <v>210037.8</v>
      </c>
      <c r="N321">
        <f t="shared" si="13"/>
        <v>210037.80000000002</v>
      </c>
      <c r="O321" t="str">
        <f t="shared" si="14"/>
        <v>Medium</v>
      </c>
    </row>
    <row r="322" spans="1:15" x14ac:dyDescent="0.25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tr">
        <f t="shared" si="12"/>
        <v>Senior</v>
      </c>
      <c r="G322" t="s">
        <v>16</v>
      </c>
      <c r="H322" t="s">
        <v>35</v>
      </c>
      <c r="I322" t="s">
        <v>76</v>
      </c>
      <c r="J322" t="s">
        <v>77</v>
      </c>
      <c r="K322">
        <v>10</v>
      </c>
      <c r="L322">
        <v>16222.64</v>
      </c>
      <c r="M322">
        <v>162226.4</v>
      </c>
      <c r="N322">
        <f t="shared" si="13"/>
        <v>162226.4</v>
      </c>
      <c r="O322" t="str">
        <f t="shared" si="14"/>
        <v>Low</v>
      </c>
    </row>
    <row r="323" spans="1:15" x14ac:dyDescent="0.25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tr">
        <f t="shared" ref="F323:F386" si="15">IF(E323&lt;=25,"Young Adult",IF(E323&lt;=40,"Adult",IF(E323&lt;=55,"Middle Age","Senior")))</f>
        <v>Adult</v>
      </c>
      <c r="G323" t="s">
        <v>24</v>
      </c>
      <c r="H323" t="s">
        <v>69</v>
      </c>
      <c r="I323" t="s">
        <v>36</v>
      </c>
      <c r="J323" t="s">
        <v>37</v>
      </c>
      <c r="K323">
        <v>4</v>
      </c>
      <c r="L323">
        <v>1935.28</v>
      </c>
      <c r="M323">
        <v>7741.12</v>
      </c>
      <c r="N323">
        <f t="shared" ref="N323:N386" si="16">K323*L323</f>
        <v>7741.12</v>
      </c>
      <c r="O323" t="str">
        <f t="shared" ref="O323:O386" si="17">IF(M323&lt;165000,"Low",IF(M323&lt;=330000,"Medium","High"))</f>
        <v>Low</v>
      </c>
    </row>
    <row r="324" spans="1:15" x14ac:dyDescent="0.25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tr">
        <f t="shared" si="15"/>
        <v>Middle Age</v>
      </c>
      <c r="G324" t="s">
        <v>16</v>
      </c>
      <c r="H324" t="s">
        <v>46</v>
      </c>
      <c r="I324" t="s">
        <v>25</v>
      </c>
      <c r="J324" t="s">
        <v>26</v>
      </c>
      <c r="K324">
        <v>4</v>
      </c>
      <c r="L324">
        <v>28385.87</v>
      </c>
      <c r="M324">
        <v>113543.48</v>
      </c>
      <c r="N324">
        <f t="shared" si="16"/>
        <v>113543.48</v>
      </c>
      <c r="O324" t="str">
        <f t="shared" si="17"/>
        <v>Low</v>
      </c>
    </row>
    <row r="325" spans="1:15" x14ac:dyDescent="0.25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tr">
        <f t="shared" si="15"/>
        <v>Adult</v>
      </c>
      <c r="G325" t="s">
        <v>24</v>
      </c>
      <c r="H325" t="s">
        <v>69</v>
      </c>
      <c r="I325" t="s">
        <v>76</v>
      </c>
      <c r="J325" t="s">
        <v>77</v>
      </c>
      <c r="K325">
        <v>8</v>
      </c>
      <c r="L325">
        <v>33388.11</v>
      </c>
      <c r="M325">
        <v>267104.88</v>
      </c>
      <c r="N325">
        <f t="shared" si="16"/>
        <v>267104.88</v>
      </c>
      <c r="O325" t="str">
        <f t="shared" si="17"/>
        <v>Medium</v>
      </c>
    </row>
    <row r="326" spans="1:15" x14ac:dyDescent="0.25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tr">
        <f t="shared" si="15"/>
        <v>Adult</v>
      </c>
      <c r="G326" t="s">
        <v>16</v>
      </c>
      <c r="H326" t="s">
        <v>17</v>
      </c>
      <c r="I326" t="s">
        <v>36</v>
      </c>
      <c r="J326" t="s">
        <v>37</v>
      </c>
      <c r="K326">
        <v>1</v>
      </c>
      <c r="L326">
        <v>1005.21</v>
      </c>
      <c r="M326">
        <v>1005.21</v>
      </c>
      <c r="N326">
        <f t="shared" si="16"/>
        <v>1005.21</v>
      </c>
      <c r="O326" t="str">
        <f t="shared" si="17"/>
        <v>Low</v>
      </c>
    </row>
    <row r="327" spans="1:15" x14ac:dyDescent="0.25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tr">
        <f t="shared" si="15"/>
        <v>Middle Age</v>
      </c>
      <c r="G327" t="s">
        <v>24</v>
      </c>
      <c r="H327" t="s">
        <v>102</v>
      </c>
      <c r="I327" t="s">
        <v>18</v>
      </c>
      <c r="J327" t="s">
        <v>19</v>
      </c>
      <c r="K327">
        <v>5</v>
      </c>
      <c r="L327">
        <v>27900.36</v>
      </c>
      <c r="M327">
        <v>139501.79999999999</v>
      </c>
      <c r="N327">
        <f t="shared" si="16"/>
        <v>139501.79999999999</v>
      </c>
      <c r="O327" t="str">
        <f t="shared" si="17"/>
        <v>Low</v>
      </c>
    </row>
    <row r="328" spans="1:15" x14ac:dyDescent="0.25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tr">
        <f t="shared" si="15"/>
        <v>Senior</v>
      </c>
      <c r="G328" t="s">
        <v>16</v>
      </c>
      <c r="H328" t="s">
        <v>17</v>
      </c>
      <c r="I328" t="s">
        <v>18</v>
      </c>
      <c r="J328" t="s">
        <v>19</v>
      </c>
      <c r="K328">
        <v>10</v>
      </c>
      <c r="L328">
        <v>31855.439999999999</v>
      </c>
      <c r="M328">
        <v>318554.40000000002</v>
      </c>
      <c r="N328">
        <f t="shared" si="16"/>
        <v>318554.39999999997</v>
      </c>
      <c r="O328" t="str">
        <f t="shared" si="17"/>
        <v>Medium</v>
      </c>
    </row>
    <row r="329" spans="1:15" x14ac:dyDescent="0.25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tr">
        <f t="shared" si="15"/>
        <v>Middle Age</v>
      </c>
      <c r="G329" t="s">
        <v>24</v>
      </c>
      <c r="H329" t="s">
        <v>51</v>
      </c>
      <c r="I329" t="s">
        <v>25</v>
      </c>
      <c r="J329" t="s">
        <v>26</v>
      </c>
      <c r="K329">
        <v>9</v>
      </c>
      <c r="L329">
        <v>45988.02</v>
      </c>
      <c r="M329">
        <v>413892.18</v>
      </c>
      <c r="N329">
        <f t="shared" si="16"/>
        <v>413892.18</v>
      </c>
      <c r="O329" t="str">
        <f t="shared" si="17"/>
        <v>High</v>
      </c>
    </row>
    <row r="330" spans="1:15" x14ac:dyDescent="0.25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tr">
        <f t="shared" si="15"/>
        <v>Senior</v>
      </c>
      <c r="G330" t="s">
        <v>16</v>
      </c>
      <c r="H330" t="s">
        <v>69</v>
      </c>
      <c r="I330" t="s">
        <v>70</v>
      </c>
      <c r="J330" t="s">
        <v>71</v>
      </c>
      <c r="K330">
        <v>7</v>
      </c>
      <c r="L330">
        <v>19261.810000000001</v>
      </c>
      <c r="M330">
        <v>134832.67000000001</v>
      </c>
      <c r="N330">
        <f t="shared" si="16"/>
        <v>134832.67000000001</v>
      </c>
      <c r="O330" t="str">
        <f t="shared" si="17"/>
        <v>Low</v>
      </c>
    </row>
    <row r="331" spans="1:15" x14ac:dyDescent="0.25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tr">
        <f t="shared" si="15"/>
        <v>Middle Age</v>
      </c>
      <c r="G331" t="s">
        <v>24</v>
      </c>
      <c r="H331" t="s">
        <v>51</v>
      </c>
      <c r="I331" t="s">
        <v>47</v>
      </c>
      <c r="J331" t="s">
        <v>37</v>
      </c>
      <c r="K331">
        <v>8</v>
      </c>
      <c r="L331">
        <v>22233.15</v>
      </c>
      <c r="M331">
        <v>177865.2</v>
      </c>
      <c r="N331">
        <f t="shared" si="16"/>
        <v>177865.2</v>
      </c>
      <c r="O331" t="str">
        <f t="shared" si="17"/>
        <v>Medium</v>
      </c>
    </row>
    <row r="332" spans="1:15" x14ac:dyDescent="0.25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tr">
        <f t="shared" si="15"/>
        <v>Middle Age</v>
      </c>
      <c r="G332" t="s">
        <v>24</v>
      </c>
      <c r="H332" t="s">
        <v>35</v>
      </c>
      <c r="I332" t="s">
        <v>70</v>
      </c>
      <c r="J332" t="s">
        <v>71</v>
      </c>
      <c r="K332">
        <v>4</v>
      </c>
      <c r="L332">
        <v>2247.11</v>
      </c>
      <c r="M332">
        <v>8988.44</v>
      </c>
      <c r="N332">
        <f t="shared" si="16"/>
        <v>8988.44</v>
      </c>
      <c r="O332" t="str">
        <f t="shared" si="17"/>
        <v>Low</v>
      </c>
    </row>
    <row r="333" spans="1:15" x14ac:dyDescent="0.25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tr">
        <f t="shared" si="15"/>
        <v>Middle Age</v>
      </c>
      <c r="G333" t="s">
        <v>16</v>
      </c>
      <c r="H333" t="s">
        <v>115</v>
      </c>
      <c r="I333" t="s">
        <v>76</v>
      </c>
      <c r="J333" t="s">
        <v>77</v>
      </c>
      <c r="K333">
        <v>6</v>
      </c>
      <c r="L333">
        <v>27965.93</v>
      </c>
      <c r="M333">
        <v>167795.58</v>
      </c>
      <c r="N333">
        <f t="shared" si="16"/>
        <v>167795.58000000002</v>
      </c>
      <c r="O333" t="str">
        <f t="shared" si="17"/>
        <v>Medium</v>
      </c>
    </row>
    <row r="334" spans="1:15" x14ac:dyDescent="0.25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tr">
        <f t="shared" si="15"/>
        <v>Adult</v>
      </c>
      <c r="G334" t="s">
        <v>24</v>
      </c>
      <c r="H334" t="s">
        <v>60</v>
      </c>
      <c r="I334" t="s">
        <v>76</v>
      </c>
      <c r="J334" t="s">
        <v>77</v>
      </c>
      <c r="K334">
        <v>5</v>
      </c>
      <c r="L334">
        <v>13013.63</v>
      </c>
      <c r="M334">
        <v>65068.15</v>
      </c>
      <c r="N334">
        <f t="shared" si="16"/>
        <v>65068.149999999994</v>
      </c>
      <c r="O334" t="str">
        <f t="shared" si="17"/>
        <v>Low</v>
      </c>
    </row>
    <row r="335" spans="1:15" x14ac:dyDescent="0.25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tr">
        <f t="shared" si="15"/>
        <v>Adult</v>
      </c>
      <c r="G335" t="s">
        <v>16</v>
      </c>
      <c r="H335" t="s">
        <v>35</v>
      </c>
      <c r="I335" t="s">
        <v>18</v>
      </c>
      <c r="J335" t="s">
        <v>19</v>
      </c>
      <c r="K335">
        <v>2</v>
      </c>
      <c r="L335">
        <v>31943.19</v>
      </c>
      <c r="M335">
        <v>63886.38</v>
      </c>
      <c r="N335">
        <f t="shared" si="16"/>
        <v>63886.38</v>
      </c>
      <c r="O335" t="str">
        <f t="shared" si="17"/>
        <v>Low</v>
      </c>
    </row>
    <row r="336" spans="1:15" x14ac:dyDescent="0.25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tr">
        <f t="shared" si="15"/>
        <v>Adult</v>
      </c>
      <c r="G336" t="s">
        <v>24</v>
      </c>
      <c r="H336" t="s">
        <v>60</v>
      </c>
      <c r="I336" t="s">
        <v>47</v>
      </c>
      <c r="J336" t="s">
        <v>37</v>
      </c>
      <c r="K336">
        <v>5</v>
      </c>
      <c r="L336">
        <v>26823.14</v>
      </c>
      <c r="M336">
        <v>134115.70000000001</v>
      </c>
      <c r="N336">
        <f t="shared" si="16"/>
        <v>134115.70000000001</v>
      </c>
      <c r="O336" t="str">
        <f t="shared" si="17"/>
        <v>Low</v>
      </c>
    </row>
    <row r="337" spans="1:15" x14ac:dyDescent="0.25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tr">
        <f t="shared" si="15"/>
        <v>Senior</v>
      </c>
      <c r="G337" t="s">
        <v>24</v>
      </c>
      <c r="H337" t="s">
        <v>115</v>
      </c>
      <c r="I337" t="s">
        <v>70</v>
      </c>
      <c r="J337" t="s">
        <v>71</v>
      </c>
      <c r="K337">
        <v>10</v>
      </c>
      <c r="L337">
        <v>11637.38</v>
      </c>
      <c r="M337">
        <v>116373.8</v>
      </c>
      <c r="N337">
        <f t="shared" si="16"/>
        <v>116373.79999999999</v>
      </c>
      <c r="O337" t="str">
        <f t="shared" si="17"/>
        <v>Low</v>
      </c>
    </row>
    <row r="338" spans="1:15" x14ac:dyDescent="0.25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tr">
        <f t="shared" si="15"/>
        <v>Middle Age</v>
      </c>
      <c r="G338" t="s">
        <v>16</v>
      </c>
      <c r="H338" t="s">
        <v>69</v>
      </c>
      <c r="I338" t="s">
        <v>76</v>
      </c>
      <c r="J338" t="s">
        <v>77</v>
      </c>
      <c r="K338">
        <v>5</v>
      </c>
      <c r="L338">
        <v>38518.949999999997</v>
      </c>
      <c r="M338">
        <v>192594.75</v>
      </c>
      <c r="N338">
        <f t="shared" si="16"/>
        <v>192594.75</v>
      </c>
      <c r="O338" t="str">
        <f t="shared" si="17"/>
        <v>Medium</v>
      </c>
    </row>
    <row r="339" spans="1:15" x14ac:dyDescent="0.25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tr">
        <f t="shared" si="15"/>
        <v>Senior</v>
      </c>
      <c r="G339" t="s">
        <v>24</v>
      </c>
      <c r="H339" t="s">
        <v>60</v>
      </c>
      <c r="I339" t="s">
        <v>47</v>
      </c>
      <c r="J339" t="s">
        <v>37</v>
      </c>
      <c r="K339">
        <v>6</v>
      </c>
      <c r="L339">
        <v>25123.86</v>
      </c>
      <c r="M339">
        <v>150743.16</v>
      </c>
      <c r="N339">
        <f t="shared" si="16"/>
        <v>150743.16</v>
      </c>
      <c r="O339" t="str">
        <f t="shared" si="17"/>
        <v>Low</v>
      </c>
    </row>
    <row r="340" spans="1:15" x14ac:dyDescent="0.25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tr">
        <f t="shared" si="15"/>
        <v>Middle Age</v>
      </c>
      <c r="G340" t="s">
        <v>16</v>
      </c>
      <c r="H340" t="s">
        <v>115</v>
      </c>
      <c r="I340" t="s">
        <v>36</v>
      </c>
      <c r="J340" t="s">
        <v>37</v>
      </c>
      <c r="K340">
        <v>9</v>
      </c>
      <c r="L340">
        <v>47289.86</v>
      </c>
      <c r="M340">
        <v>425608.74</v>
      </c>
      <c r="N340">
        <f t="shared" si="16"/>
        <v>425608.74</v>
      </c>
      <c r="O340" t="str">
        <f t="shared" si="17"/>
        <v>High</v>
      </c>
    </row>
    <row r="341" spans="1:15" x14ac:dyDescent="0.25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tr">
        <f t="shared" si="15"/>
        <v>Middle Age</v>
      </c>
      <c r="G341" t="s">
        <v>16</v>
      </c>
      <c r="H341" t="s">
        <v>17</v>
      </c>
      <c r="I341" t="s">
        <v>25</v>
      </c>
      <c r="J341" t="s">
        <v>26</v>
      </c>
      <c r="K341">
        <v>4</v>
      </c>
      <c r="L341">
        <v>18655.09</v>
      </c>
      <c r="M341">
        <v>74620.36</v>
      </c>
      <c r="N341">
        <f t="shared" si="16"/>
        <v>74620.36</v>
      </c>
      <c r="O341" t="str">
        <f t="shared" si="17"/>
        <v>Low</v>
      </c>
    </row>
    <row r="342" spans="1:15" x14ac:dyDescent="0.25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tr">
        <f t="shared" si="15"/>
        <v>Middle Age</v>
      </c>
      <c r="G342" t="s">
        <v>24</v>
      </c>
      <c r="H342" t="s">
        <v>60</v>
      </c>
      <c r="I342" t="s">
        <v>25</v>
      </c>
      <c r="J342" t="s">
        <v>26</v>
      </c>
      <c r="K342">
        <v>3</v>
      </c>
      <c r="L342">
        <v>45718.65</v>
      </c>
      <c r="M342">
        <v>137155.95000000001</v>
      </c>
      <c r="N342">
        <f t="shared" si="16"/>
        <v>137155.95000000001</v>
      </c>
      <c r="O342" t="str">
        <f t="shared" si="17"/>
        <v>Low</v>
      </c>
    </row>
    <row r="343" spans="1:15" x14ac:dyDescent="0.25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tr">
        <f t="shared" si="15"/>
        <v>Middle Age</v>
      </c>
      <c r="G343" t="s">
        <v>16</v>
      </c>
      <c r="H343" t="s">
        <v>115</v>
      </c>
      <c r="I343" t="s">
        <v>18</v>
      </c>
      <c r="J343" t="s">
        <v>19</v>
      </c>
      <c r="K343">
        <v>10</v>
      </c>
      <c r="L343">
        <v>21580.33</v>
      </c>
      <c r="M343">
        <v>215803.3</v>
      </c>
      <c r="N343">
        <f t="shared" si="16"/>
        <v>215803.30000000002</v>
      </c>
      <c r="O343" t="str">
        <f t="shared" si="17"/>
        <v>Medium</v>
      </c>
    </row>
    <row r="344" spans="1:15" x14ac:dyDescent="0.25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tr">
        <f t="shared" si="15"/>
        <v>Adult</v>
      </c>
      <c r="G344" t="s">
        <v>16</v>
      </c>
      <c r="H344" t="s">
        <v>51</v>
      </c>
      <c r="I344" t="s">
        <v>70</v>
      </c>
      <c r="J344" t="s">
        <v>71</v>
      </c>
      <c r="K344">
        <v>5</v>
      </c>
      <c r="L344">
        <v>10932.32</v>
      </c>
      <c r="M344">
        <v>54661.599999999999</v>
      </c>
      <c r="N344">
        <f t="shared" si="16"/>
        <v>54661.599999999999</v>
      </c>
      <c r="O344" t="str">
        <f t="shared" si="17"/>
        <v>Low</v>
      </c>
    </row>
    <row r="345" spans="1:15" x14ac:dyDescent="0.25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tr">
        <f t="shared" si="15"/>
        <v>Senior</v>
      </c>
      <c r="G345" t="s">
        <v>16</v>
      </c>
      <c r="H345" t="s">
        <v>102</v>
      </c>
      <c r="I345" t="s">
        <v>36</v>
      </c>
      <c r="J345" t="s">
        <v>37</v>
      </c>
      <c r="K345">
        <v>6</v>
      </c>
      <c r="L345">
        <v>12740.73</v>
      </c>
      <c r="M345">
        <v>76444.38</v>
      </c>
      <c r="N345">
        <f t="shared" si="16"/>
        <v>76444.38</v>
      </c>
      <c r="O345" t="str">
        <f t="shared" si="17"/>
        <v>Low</v>
      </c>
    </row>
    <row r="346" spans="1:15" x14ac:dyDescent="0.25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tr">
        <f t="shared" si="15"/>
        <v>Adult</v>
      </c>
      <c r="G346" t="s">
        <v>24</v>
      </c>
      <c r="H346" t="s">
        <v>17</v>
      </c>
      <c r="I346" t="s">
        <v>18</v>
      </c>
      <c r="J346" t="s">
        <v>19</v>
      </c>
      <c r="K346">
        <v>9</v>
      </c>
      <c r="L346">
        <v>12137.54</v>
      </c>
      <c r="M346">
        <v>109237.86</v>
      </c>
      <c r="N346">
        <f t="shared" si="16"/>
        <v>109237.86000000002</v>
      </c>
      <c r="O346" t="str">
        <f t="shared" si="17"/>
        <v>Low</v>
      </c>
    </row>
    <row r="347" spans="1:15" x14ac:dyDescent="0.25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tr">
        <f t="shared" si="15"/>
        <v>Adult</v>
      </c>
      <c r="G347" t="s">
        <v>24</v>
      </c>
      <c r="H347" t="s">
        <v>69</v>
      </c>
      <c r="I347" t="s">
        <v>70</v>
      </c>
      <c r="J347" t="s">
        <v>71</v>
      </c>
      <c r="K347">
        <v>1</v>
      </c>
      <c r="L347">
        <v>36943.51</v>
      </c>
      <c r="M347">
        <v>36943.51</v>
      </c>
      <c r="N347">
        <f t="shared" si="16"/>
        <v>36943.51</v>
      </c>
      <c r="O347" t="str">
        <f t="shared" si="17"/>
        <v>Low</v>
      </c>
    </row>
    <row r="348" spans="1:15" x14ac:dyDescent="0.25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tr">
        <f t="shared" si="15"/>
        <v>Middle Age</v>
      </c>
      <c r="G348" t="s">
        <v>24</v>
      </c>
      <c r="H348" t="s">
        <v>69</v>
      </c>
      <c r="I348" t="s">
        <v>18</v>
      </c>
      <c r="J348" t="s">
        <v>19</v>
      </c>
      <c r="K348">
        <v>2</v>
      </c>
      <c r="L348">
        <v>33566.199999999997</v>
      </c>
      <c r="M348">
        <v>67132.399999999994</v>
      </c>
      <c r="N348">
        <f t="shared" si="16"/>
        <v>67132.399999999994</v>
      </c>
      <c r="O348" t="str">
        <f t="shared" si="17"/>
        <v>Low</v>
      </c>
    </row>
    <row r="349" spans="1:15" x14ac:dyDescent="0.25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tr">
        <f t="shared" si="15"/>
        <v>Adult</v>
      </c>
      <c r="G349" t="s">
        <v>16</v>
      </c>
      <c r="H349" t="s">
        <v>17</v>
      </c>
      <c r="I349" t="s">
        <v>70</v>
      </c>
      <c r="J349" t="s">
        <v>71</v>
      </c>
      <c r="K349">
        <v>2</v>
      </c>
      <c r="L349">
        <v>32332.27</v>
      </c>
      <c r="M349">
        <v>64664.54</v>
      </c>
      <c r="N349">
        <f t="shared" si="16"/>
        <v>64664.54</v>
      </c>
      <c r="O349" t="str">
        <f t="shared" si="17"/>
        <v>Low</v>
      </c>
    </row>
    <row r="350" spans="1:15" x14ac:dyDescent="0.25">
      <c r="A350" t="s">
        <v>1197</v>
      </c>
      <c r="B350" t="s">
        <v>458</v>
      </c>
      <c r="C350" t="s">
        <v>1198</v>
      </c>
      <c r="D350" t="s">
        <v>205</v>
      </c>
      <c r="E350">
        <v>41</v>
      </c>
      <c r="F350" t="str">
        <f t="shared" si="15"/>
        <v>Middle Age</v>
      </c>
      <c r="G350" t="s">
        <v>24</v>
      </c>
      <c r="H350" t="s">
        <v>115</v>
      </c>
      <c r="I350" t="s">
        <v>47</v>
      </c>
      <c r="J350" t="s">
        <v>37</v>
      </c>
      <c r="K350">
        <v>8</v>
      </c>
      <c r="L350">
        <v>47254.7</v>
      </c>
      <c r="M350">
        <v>378037.6</v>
      </c>
      <c r="N350">
        <f t="shared" si="16"/>
        <v>378037.6</v>
      </c>
      <c r="O350" t="str">
        <f t="shared" si="17"/>
        <v>High</v>
      </c>
    </row>
    <row r="351" spans="1:15" x14ac:dyDescent="0.25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tr">
        <f t="shared" si="15"/>
        <v>Middle Age</v>
      </c>
      <c r="G351" t="s">
        <v>24</v>
      </c>
      <c r="H351" t="s">
        <v>17</v>
      </c>
      <c r="I351" t="s">
        <v>76</v>
      </c>
      <c r="J351" t="s">
        <v>77</v>
      </c>
      <c r="K351">
        <v>3</v>
      </c>
      <c r="L351">
        <v>42538.14</v>
      </c>
      <c r="M351">
        <v>127614.42</v>
      </c>
      <c r="N351">
        <f t="shared" si="16"/>
        <v>127614.42</v>
      </c>
      <c r="O351" t="str">
        <f t="shared" si="17"/>
        <v>Low</v>
      </c>
    </row>
    <row r="352" spans="1:15" x14ac:dyDescent="0.25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tr">
        <f t="shared" si="15"/>
        <v>Adult</v>
      </c>
      <c r="G352" t="s">
        <v>24</v>
      </c>
      <c r="H352" t="s">
        <v>60</v>
      </c>
      <c r="I352" t="s">
        <v>36</v>
      </c>
      <c r="J352" t="s">
        <v>37</v>
      </c>
      <c r="K352">
        <v>4</v>
      </c>
      <c r="L352">
        <v>25840.34</v>
      </c>
      <c r="M352">
        <v>103361.36</v>
      </c>
      <c r="N352">
        <f t="shared" si="16"/>
        <v>103361.36</v>
      </c>
      <c r="O352" t="str">
        <f t="shared" si="17"/>
        <v>Low</v>
      </c>
    </row>
    <row r="353" spans="1:15" x14ac:dyDescent="0.25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tr">
        <f t="shared" si="15"/>
        <v>Middle Age</v>
      </c>
      <c r="G353" t="s">
        <v>24</v>
      </c>
      <c r="H353" t="s">
        <v>17</v>
      </c>
      <c r="I353" t="s">
        <v>47</v>
      </c>
      <c r="J353" t="s">
        <v>37</v>
      </c>
      <c r="K353">
        <v>1</v>
      </c>
      <c r="L353">
        <v>8162.84</v>
      </c>
      <c r="M353">
        <v>8162.84</v>
      </c>
      <c r="N353">
        <f t="shared" si="16"/>
        <v>8162.84</v>
      </c>
      <c r="O353" t="str">
        <f t="shared" si="17"/>
        <v>Low</v>
      </c>
    </row>
    <row r="354" spans="1:15" x14ac:dyDescent="0.25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tr">
        <f t="shared" si="15"/>
        <v>Adult</v>
      </c>
      <c r="G354" t="s">
        <v>24</v>
      </c>
      <c r="H354" t="s">
        <v>60</v>
      </c>
      <c r="I354" t="s">
        <v>76</v>
      </c>
      <c r="J354" t="s">
        <v>77</v>
      </c>
      <c r="K354">
        <v>5</v>
      </c>
      <c r="L354">
        <v>49012.25</v>
      </c>
      <c r="M354">
        <v>245061.25</v>
      </c>
      <c r="N354">
        <f t="shared" si="16"/>
        <v>245061.25</v>
      </c>
      <c r="O354" t="str">
        <f t="shared" si="17"/>
        <v>Medium</v>
      </c>
    </row>
    <row r="355" spans="1:15" x14ac:dyDescent="0.25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tr">
        <f t="shared" si="15"/>
        <v>Adult</v>
      </c>
      <c r="G355" t="s">
        <v>24</v>
      </c>
      <c r="H355" t="s">
        <v>102</v>
      </c>
      <c r="I355" t="s">
        <v>18</v>
      </c>
      <c r="J355" t="s">
        <v>19</v>
      </c>
      <c r="K355">
        <v>5</v>
      </c>
      <c r="L355">
        <v>19538.669999999998</v>
      </c>
      <c r="M355">
        <v>97693.35</v>
      </c>
      <c r="N355">
        <f t="shared" si="16"/>
        <v>97693.349999999991</v>
      </c>
      <c r="O355" t="str">
        <f t="shared" si="17"/>
        <v>Low</v>
      </c>
    </row>
    <row r="356" spans="1:15" x14ac:dyDescent="0.25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tr">
        <f t="shared" si="15"/>
        <v>Middle Age</v>
      </c>
      <c r="G356" t="s">
        <v>16</v>
      </c>
      <c r="H356" t="s">
        <v>46</v>
      </c>
      <c r="I356" t="s">
        <v>25</v>
      </c>
      <c r="J356" t="s">
        <v>26</v>
      </c>
      <c r="K356">
        <v>1</v>
      </c>
      <c r="L356">
        <v>5053.68</v>
      </c>
      <c r="M356">
        <v>5053.68</v>
      </c>
      <c r="N356">
        <f t="shared" si="16"/>
        <v>5053.68</v>
      </c>
      <c r="O356" t="str">
        <f t="shared" si="17"/>
        <v>Low</v>
      </c>
    </row>
    <row r="357" spans="1:15" x14ac:dyDescent="0.25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tr">
        <f t="shared" si="15"/>
        <v>Adult</v>
      </c>
      <c r="G357" t="s">
        <v>24</v>
      </c>
      <c r="H357" t="s">
        <v>102</v>
      </c>
      <c r="I357" t="s">
        <v>47</v>
      </c>
      <c r="J357" t="s">
        <v>37</v>
      </c>
      <c r="K357">
        <v>6</v>
      </c>
      <c r="L357">
        <v>14400.18</v>
      </c>
      <c r="M357">
        <v>86401.08</v>
      </c>
      <c r="N357">
        <f t="shared" si="16"/>
        <v>86401.08</v>
      </c>
      <c r="O357" t="str">
        <f t="shared" si="17"/>
        <v>Low</v>
      </c>
    </row>
    <row r="358" spans="1:15" x14ac:dyDescent="0.25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tr">
        <f t="shared" si="15"/>
        <v>Middle Age</v>
      </c>
      <c r="G358" t="s">
        <v>16</v>
      </c>
      <c r="H358" t="s">
        <v>35</v>
      </c>
      <c r="I358" t="s">
        <v>76</v>
      </c>
      <c r="J358" t="s">
        <v>77</v>
      </c>
      <c r="K358">
        <v>4</v>
      </c>
      <c r="L358">
        <v>28464.26</v>
      </c>
      <c r="M358">
        <v>113857.04</v>
      </c>
      <c r="N358">
        <f t="shared" si="16"/>
        <v>113857.04</v>
      </c>
      <c r="O358" t="str">
        <f t="shared" si="17"/>
        <v>Low</v>
      </c>
    </row>
    <row r="359" spans="1:15" x14ac:dyDescent="0.25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tr">
        <f t="shared" si="15"/>
        <v>Adult</v>
      </c>
      <c r="G359" t="s">
        <v>16</v>
      </c>
      <c r="H359" t="s">
        <v>69</v>
      </c>
      <c r="I359" t="s">
        <v>70</v>
      </c>
      <c r="J359" t="s">
        <v>71</v>
      </c>
      <c r="K359">
        <v>5</v>
      </c>
      <c r="L359">
        <v>40682.5</v>
      </c>
      <c r="M359">
        <v>203412.5</v>
      </c>
      <c r="N359">
        <f t="shared" si="16"/>
        <v>203412.5</v>
      </c>
      <c r="O359" t="str">
        <f t="shared" si="17"/>
        <v>Medium</v>
      </c>
    </row>
    <row r="360" spans="1:15" x14ac:dyDescent="0.25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tr">
        <f t="shared" si="15"/>
        <v>Young Adult</v>
      </c>
      <c r="G360" t="s">
        <v>16</v>
      </c>
      <c r="H360" t="s">
        <v>115</v>
      </c>
      <c r="I360" t="s">
        <v>18</v>
      </c>
      <c r="J360" t="s">
        <v>19</v>
      </c>
      <c r="K360">
        <v>7</v>
      </c>
      <c r="L360">
        <v>45480.39</v>
      </c>
      <c r="M360">
        <v>318362.73</v>
      </c>
      <c r="N360">
        <f t="shared" si="16"/>
        <v>318362.73</v>
      </c>
      <c r="O360" t="str">
        <f t="shared" si="17"/>
        <v>Medium</v>
      </c>
    </row>
    <row r="361" spans="1:15" x14ac:dyDescent="0.25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tr">
        <f t="shared" si="15"/>
        <v>Middle Age</v>
      </c>
      <c r="G361" t="s">
        <v>16</v>
      </c>
      <c r="H361" t="s">
        <v>69</v>
      </c>
      <c r="I361" t="s">
        <v>25</v>
      </c>
      <c r="J361" t="s">
        <v>26</v>
      </c>
      <c r="K361">
        <v>6</v>
      </c>
      <c r="L361">
        <v>42742.96</v>
      </c>
      <c r="M361">
        <v>256457.76</v>
      </c>
      <c r="N361">
        <f t="shared" si="16"/>
        <v>256457.76</v>
      </c>
      <c r="O361" t="str">
        <f t="shared" si="17"/>
        <v>Medium</v>
      </c>
    </row>
    <row r="362" spans="1:15" x14ac:dyDescent="0.25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tr">
        <f t="shared" si="15"/>
        <v>Senior</v>
      </c>
      <c r="G362" t="s">
        <v>16</v>
      </c>
      <c r="H362" t="s">
        <v>115</v>
      </c>
      <c r="I362" t="s">
        <v>47</v>
      </c>
      <c r="J362" t="s">
        <v>37</v>
      </c>
      <c r="K362">
        <v>10</v>
      </c>
      <c r="L362">
        <v>19010.689999999999</v>
      </c>
      <c r="M362">
        <v>190106.9</v>
      </c>
      <c r="N362">
        <f t="shared" si="16"/>
        <v>190106.9</v>
      </c>
      <c r="O362" t="str">
        <f t="shared" si="17"/>
        <v>Medium</v>
      </c>
    </row>
    <row r="363" spans="1:15" x14ac:dyDescent="0.25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tr">
        <f t="shared" si="15"/>
        <v>Adult</v>
      </c>
      <c r="G363" t="s">
        <v>24</v>
      </c>
      <c r="H363" t="s">
        <v>115</v>
      </c>
      <c r="I363" t="s">
        <v>47</v>
      </c>
      <c r="J363" t="s">
        <v>37</v>
      </c>
      <c r="K363">
        <v>5</v>
      </c>
      <c r="L363">
        <v>31244.32</v>
      </c>
      <c r="M363">
        <v>156221.6</v>
      </c>
      <c r="N363">
        <f t="shared" si="16"/>
        <v>156221.6</v>
      </c>
      <c r="O363" t="str">
        <f t="shared" si="17"/>
        <v>Low</v>
      </c>
    </row>
    <row r="364" spans="1:15" x14ac:dyDescent="0.25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tr">
        <f t="shared" si="15"/>
        <v>Adult</v>
      </c>
      <c r="G364" t="s">
        <v>24</v>
      </c>
      <c r="H364" t="s">
        <v>17</v>
      </c>
      <c r="I364" t="s">
        <v>47</v>
      </c>
      <c r="J364" t="s">
        <v>37</v>
      </c>
      <c r="K364">
        <v>7</v>
      </c>
      <c r="L364">
        <v>42733.08</v>
      </c>
      <c r="M364">
        <v>299131.56</v>
      </c>
      <c r="N364">
        <f t="shared" si="16"/>
        <v>299131.56</v>
      </c>
      <c r="O364" t="str">
        <f t="shared" si="17"/>
        <v>Medium</v>
      </c>
    </row>
    <row r="365" spans="1:15" x14ac:dyDescent="0.25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tr">
        <f t="shared" si="15"/>
        <v>Senior</v>
      </c>
      <c r="G365" t="s">
        <v>16</v>
      </c>
      <c r="H365" t="s">
        <v>102</v>
      </c>
      <c r="I365" t="s">
        <v>70</v>
      </c>
      <c r="J365" t="s">
        <v>71</v>
      </c>
      <c r="K365">
        <v>1</v>
      </c>
      <c r="L365">
        <v>44751.42</v>
      </c>
      <c r="M365">
        <v>44751.42</v>
      </c>
      <c r="N365">
        <f t="shared" si="16"/>
        <v>44751.42</v>
      </c>
      <c r="O365" t="str">
        <f t="shared" si="17"/>
        <v>Low</v>
      </c>
    </row>
    <row r="366" spans="1:15" x14ac:dyDescent="0.25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tr">
        <f t="shared" si="15"/>
        <v>Young Adult</v>
      </c>
      <c r="G366" t="s">
        <v>24</v>
      </c>
      <c r="H366" t="s">
        <v>17</v>
      </c>
      <c r="I366" t="s">
        <v>36</v>
      </c>
      <c r="J366" t="s">
        <v>37</v>
      </c>
      <c r="K366">
        <v>10</v>
      </c>
      <c r="L366">
        <v>47493.59</v>
      </c>
      <c r="M366">
        <v>474935.9</v>
      </c>
      <c r="N366">
        <f t="shared" si="16"/>
        <v>474935.89999999997</v>
      </c>
      <c r="O366" t="str">
        <f t="shared" si="17"/>
        <v>High</v>
      </c>
    </row>
    <row r="367" spans="1:15" x14ac:dyDescent="0.25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tr">
        <f t="shared" si="15"/>
        <v>Middle Age</v>
      </c>
      <c r="G367" t="s">
        <v>16</v>
      </c>
      <c r="H367" t="s">
        <v>102</v>
      </c>
      <c r="I367" t="s">
        <v>70</v>
      </c>
      <c r="J367" t="s">
        <v>71</v>
      </c>
      <c r="K367">
        <v>8</v>
      </c>
      <c r="L367">
        <v>46122.45</v>
      </c>
      <c r="M367">
        <v>368979.6</v>
      </c>
      <c r="N367">
        <f t="shared" si="16"/>
        <v>368979.6</v>
      </c>
      <c r="O367" t="str">
        <f t="shared" si="17"/>
        <v>High</v>
      </c>
    </row>
    <row r="368" spans="1:15" x14ac:dyDescent="0.25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tr">
        <f t="shared" si="15"/>
        <v>Senior</v>
      </c>
      <c r="G368" t="s">
        <v>24</v>
      </c>
      <c r="H368" t="s">
        <v>17</v>
      </c>
      <c r="I368" t="s">
        <v>70</v>
      </c>
      <c r="J368" t="s">
        <v>71</v>
      </c>
      <c r="K368">
        <v>3</v>
      </c>
      <c r="L368">
        <v>31028.12</v>
      </c>
      <c r="M368">
        <v>93084.36</v>
      </c>
      <c r="N368">
        <f t="shared" si="16"/>
        <v>93084.36</v>
      </c>
      <c r="O368" t="str">
        <f t="shared" si="17"/>
        <v>Low</v>
      </c>
    </row>
    <row r="369" spans="1:15" x14ac:dyDescent="0.25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tr">
        <f t="shared" si="15"/>
        <v>Adult</v>
      </c>
      <c r="G369" t="s">
        <v>24</v>
      </c>
      <c r="H369" t="s">
        <v>17</v>
      </c>
      <c r="I369" t="s">
        <v>70</v>
      </c>
      <c r="J369" t="s">
        <v>71</v>
      </c>
      <c r="K369">
        <v>2</v>
      </c>
      <c r="L369">
        <v>48986.48</v>
      </c>
      <c r="M369">
        <v>97972.96</v>
      </c>
      <c r="N369">
        <f t="shared" si="16"/>
        <v>97972.96</v>
      </c>
      <c r="O369" t="str">
        <f t="shared" si="17"/>
        <v>Low</v>
      </c>
    </row>
    <row r="370" spans="1:15" x14ac:dyDescent="0.25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tr">
        <f t="shared" si="15"/>
        <v>Adult</v>
      </c>
      <c r="G370" t="s">
        <v>24</v>
      </c>
      <c r="H370" t="s">
        <v>51</v>
      </c>
      <c r="I370" t="s">
        <v>36</v>
      </c>
      <c r="J370" t="s">
        <v>37</v>
      </c>
      <c r="K370">
        <v>10</v>
      </c>
      <c r="L370">
        <v>12839.38</v>
      </c>
      <c r="M370">
        <v>128393.8</v>
      </c>
      <c r="N370">
        <f t="shared" si="16"/>
        <v>128393.79999999999</v>
      </c>
      <c r="O370" t="str">
        <f t="shared" si="17"/>
        <v>Low</v>
      </c>
    </row>
    <row r="371" spans="1:15" x14ac:dyDescent="0.25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tr">
        <f t="shared" si="15"/>
        <v>Adult</v>
      </c>
      <c r="G371" t="s">
        <v>16</v>
      </c>
      <c r="H371" t="s">
        <v>35</v>
      </c>
      <c r="I371" t="s">
        <v>36</v>
      </c>
      <c r="J371" t="s">
        <v>37</v>
      </c>
      <c r="K371">
        <v>1</v>
      </c>
      <c r="L371">
        <v>6050.27</v>
      </c>
      <c r="M371">
        <v>6050.27</v>
      </c>
      <c r="N371">
        <f t="shared" si="16"/>
        <v>6050.27</v>
      </c>
      <c r="O371" t="str">
        <f t="shared" si="17"/>
        <v>Low</v>
      </c>
    </row>
    <row r="372" spans="1:15" x14ac:dyDescent="0.25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tr">
        <f t="shared" si="15"/>
        <v>Senior</v>
      </c>
      <c r="G372" t="s">
        <v>24</v>
      </c>
      <c r="H372" t="s">
        <v>60</v>
      </c>
      <c r="I372" t="s">
        <v>36</v>
      </c>
      <c r="J372" t="s">
        <v>37</v>
      </c>
      <c r="K372">
        <v>2</v>
      </c>
      <c r="L372">
        <v>42518.8</v>
      </c>
      <c r="M372">
        <v>85037.6</v>
      </c>
      <c r="N372">
        <f t="shared" si="16"/>
        <v>85037.6</v>
      </c>
      <c r="O372" t="str">
        <f t="shared" si="17"/>
        <v>Low</v>
      </c>
    </row>
    <row r="373" spans="1:15" x14ac:dyDescent="0.25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tr">
        <f t="shared" si="15"/>
        <v>Middle Age</v>
      </c>
      <c r="G373" t="s">
        <v>16</v>
      </c>
      <c r="H373" t="s">
        <v>60</v>
      </c>
      <c r="I373" t="s">
        <v>18</v>
      </c>
      <c r="J373" t="s">
        <v>19</v>
      </c>
      <c r="K373">
        <v>4</v>
      </c>
      <c r="L373">
        <v>22806.21</v>
      </c>
      <c r="M373">
        <v>91224.84</v>
      </c>
      <c r="N373">
        <f t="shared" si="16"/>
        <v>91224.84</v>
      </c>
      <c r="O373" t="str">
        <f t="shared" si="17"/>
        <v>Low</v>
      </c>
    </row>
    <row r="374" spans="1:15" x14ac:dyDescent="0.25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tr">
        <f t="shared" si="15"/>
        <v>Adult</v>
      </c>
      <c r="G374" t="s">
        <v>16</v>
      </c>
      <c r="H374" t="s">
        <v>17</v>
      </c>
      <c r="I374" t="s">
        <v>47</v>
      </c>
      <c r="J374" t="s">
        <v>37</v>
      </c>
      <c r="K374">
        <v>4</v>
      </c>
      <c r="L374">
        <v>39453.46</v>
      </c>
      <c r="M374">
        <v>157813.84</v>
      </c>
      <c r="N374">
        <f t="shared" si="16"/>
        <v>157813.84</v>
      </c>
      <c r="O374" t="str">
        <f t="shared" si="17"/>
        <v>Low</v>
      </c>
    </row>
    <row r="375" spans="1:15" x14ac:dyDescent="0.25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tr">
        <f t="shared" si="15"/>
        <v>Young Adult</v>
      </c>
      <c r="G375" t="s">
        <v>24</v>
      </c>
      <c r="I375" t="s">
        <v>47</v>
      </c>
      <c r="J375" t="s">
        <v>37</v>
      </c>
      <c r="K375">
        <v>2</v>
      </c>
      <c r="L375">
        <v>28311.58</v>
      </c>
      <c r="M375">
        <v>56623.16</v>
      </c>
      <c r="N375">
        <f t="shared" si="16"/>
        <v>56623.16</v>
      </c>
      <c r="O375" t="str">
        <f t="shared" si="17"/>
        <v>Low</v>
      </c>
    </row>
    <row r="376" spans="1:15" x14ac:dyDescent="0.25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tr">
        <f t="shared" si="15"/>
        <v>Middle Age</v>
      </c>
      <c r="G376" t="s">
        <v>16</v>
      </c>
      <c r="H376" t="s">
        <v>69</v>
      </c>
      <c r="I376" t="s">
        <v>18</v>
      </c>
      <c r="J376" t="s">
        <v>19</v>
      </c>
      <c r="K376">
        <v>3</v>
      </c>
      <c r="L376">
        <v>11513.96</v>
      </c>
      <c r="M376">
        <v>34541.879999999997</v>
      </c>
      <c r="N376">
        <f t="shared" si="16"/>
        <v>34541.879999999997</v>
      </c>
      <c r="O376" t="str">
        <f t="shared" si="17"/>
        <v>Low</v>
      </c>
    </row>
    <row r="377" spans="1:15" x14ac:dyDescent="0.25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tr">
        <f t="shared" si="15"/>
        <v>Adult</v>
      </c>
      <c r="G377" t="s">
        <v>24</v>
      </c>
      <c r="H377" t="s">
        <v>17</v>
      </c>
      <c r="I377" t="s">
        <v>70</v>
      </c>
      <c r="J377" t="s">
        <v>71</v>
      </c>
      <c r="K377">
        <v>8</v>
      </c>
      <c r="L377">
        <v>16079.7</v>
      </c>
      <c r="M377">
        <v>128637.6</v>
      </c>
      <c r="N377">
        <f t="shared" si="16"/>
        <v>128637.6</v>
      </c>
      <c r="O377" t="str">
        <f t="shared" si="17"/>
        <v>Low</v>
      </c>
    </row>
    <row r="378" spans="1:15" x14ac:dyDescent="0.25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tr">
        <f t="shared" si="15"/>
        <v>Senior</v>
      </c>
      <c r="G378" t="s">
        <v>16</v>
      </c>
      <c r="H378" t="s">
        <v>51</v>
      </c>
      <c r="I378" t="s">
        <v>25</v>
      </c>
      <c r="J378" t="s">
        <v>26</v>
      </c>
      <c r="K378">
        <v>5</v>
      </c>
      <c r="L378">
        <v>21152.92</v>
      </c>
      <c r="M378">
        <v>105764.6</v>
      </c>
      <c r="N378">
        <f t="shared" si="16"/>
        <v>105764.59999999999</v>
      </c>
      <c r="O378" t="str">
        <f t="shared" si="17"/>
        <v>Low</v>
      </c>
    </row>
    <row r="379" spans="1:15" x14ac:dyDescent="0.25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tr">
        <f t="shared" si="15"/>
        <v>Young Adult</v>
      </c>
      <c r="G379" t="s">
        <v>16</v>
      </c>
      <c r="H379" t="s">
        <v>115</v>
      </c>
      <c r="I379" t="s">
        <v>36</v>
      </c>
      <c r="J379" t="s">
        <v>37</v>
      </c>
      <c r="K379">
        <v>7</v>
      </c>
      <c r="L379">
        <v>20998.7</v>
      </c>
      <c r="M379">
        <v>146990.9</v>
      </c>
      <c r="N379">
        <f t="shared" si="16"/>
        <v>146990.9</v>
      </c>
      <c r="O379" t="str">
        <f t="shared" si="17"/>
        <v>Low</v>
      </c>
    </row>
    <row r="380" spans="1:15" x14ac:dyDescent="0.25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tr">
        <f t="shared" si="15"/>
        <v>Senior</v>
      </c>
      <c r="G380" t="s">
        <v>24</v>
      </c>
      <c r="H380" t="s">
        <v>35</v>
      </c>
      <c r="I380" t="s">
        <v>18</v>
      </c>
      <c r="J380" t="s">
        <v>19</v>
      </c>
      <c r="K380">
        <v>6</v>
      </c>
      <c r="L380">
        <v>13054.61</v>
      </c>
      <c r="M380">
        <v>78327.66</v>
      </c>
      <c r="N380">
        <f t="shared" si="16"/>
        <v>78327.66</v>
      </c>
      <c r="O380" t="str">
        <f t="shared" si="17"/>
        <v>Low</v>
      </c>
    </row>
    <row r="381" spans="1:15" x14ac:dyDescent="0.25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tr">
        <f t="shared" si="15"/>
        <v>Middle Age</v>
      </c>
      <c r="G381" t="s">
        <v>24</v>
      </c>
      <c r="H381" t="s">
        <v>115</v>
      </c>
      <c r="I381" t="s">
        <v>36</v>
      </c>
      <c r="J381" t="s">
        <v>37</v>
      </c>
      <c r="K381">
        <v>9</v>
      </c>
      <c r="L381">
        <v>46780.58</v>
      </c>
      <c r="M381">
        <v>421025.22</v>
      </c>
      <c r="N381">
        <f t="shared" si="16"/>
        <v>421025.22000000003</v>
      </c>
      <c r="O381" t="str">
        <f t="shared" si="17"/>
        <v>High</v>
      </c>
    </row>
    <row r="382" spans="1:15" x14ac:dyDescent="0.25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tr">
        <f t="shared" si="15"/>
        <v>Adult</v>
      </c>
      <c r="G382" t="s">
        <v>24</v>
      </c>
      <c r="H382" t="s">
        <v>35</v>
      </c>
      <c r="I382" t="s">
        <v>70</v>
      </c>
      <c r="J382" t="s">
        <v>71</v>
      </c>
      <c r="K382">
        <v>7</v>
      </c>
      <c r="L382">
        <v>34258.83</v>
      </c>
      <c r="M382">
        <v>239811.81</v>
      </c>
      <c r="N382">
        <f t="shared" si="16"/>
        <v>239811.81</v>
      </c>
      <c r="O382" t="str">
        <f t="shared" si="17"/>
        <v>Medium</v>
      </c>
    </row>
    <row r="383" spans="1:15" x14ac:dyDescent="0.25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tr">
        <f t="shared" si="15"/>
        <v>Young Adult</v>
      </c>
      <c r="G383" t="s">
        <v>24</v>
      </c>
      <c r="H383" t="s">
        <v>69</v>
      </c>
      <c r="I383" t="s">
        <v>36</v>
      </c>
      <c r="J383" t="s">
        <v>37</v>
      </c>
      <c r="K383">
        <v>7</v>
      </c>
      <c r="L383">
        <v>17055.84</v>
      </c>
      <c r="M383">
        <v>119390.88</v>
      </c>
      <c r="N383">
        <f t="shared" si="16"/>
        <v>119390.88</v>
      </c>
      <c r="O383" t="str">
        <f t="shared" si="17"/>
        <v>Low</v>
      </c>
    </row>
    <row r="384" spans="1:15" x14ac:dyDescent="0.25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tr">
        <f t="shared" si="15"/>
        <v>Adult</v>
      </c>
      <c r="G384" t="s">
        <v>16</v>
      </c>
      <c r="H384" t="s">
        <v>51</v>
      </c>
      <c r="I384" t="s">
        <v>76</v>
      </c>
      <c r="J384" t="s">
        <v>77</v>
      </c>
      <c r="K384">
        <v>10</v>
      </c>
      <c r="L384">
        <v>7876.48</v>
      </c>
      <c r="M384">
        <v>78764.800000000003</v>
      </c>
      <c r="N384">
        <f t="shared" si="16"/>
        <v>78764.799999999988</v>
      </c>
      <c r="O384" t="str">
        <f t="shared" si="17"/>
        <v>Low</v>
      </c>
    </row>
    <row r="385" spans="1:15" x14ac:dyDescent="0.25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tr">
        <f t="shared" si="15"/>
        <v>Middle Age</v>
      </c>
      <c r="G385" t="s">
        <v>16</v>
      </c>
      <c r="H385" t="s">
        <v>69</v>
      </c>
      <c r="I385" t="s">
        <v>36</v>
      </c>
      <c r="J385" t="s">
        <v>37</v>
      </c>
      <c r="K385">
        <v>10</v>
      </c>
      <c r="L385">
        <v>34976.79</v>
      </c>
      <c r="M385">
        <v>349767.9</v>
      </c>
      <c r="N385">
        <f t="shared" si="16"/>
        <v>349767.9</v>
      </c>
      <c r="O385" t="str">
        <f t="shared" si="17"/>
        <v>High</v>
      </c>
    </row>
    <row r="386" spans="1:15" x14ac:dyDescent="0.25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tr">
        <f t="shared" si="15"/>
        <v>Adult</v>
      </c>
      <c r="G386" t="s">
        <v>16</v>
      </c>
      <c r="H386" t="s">
        <v>69</v>
      </c>
      <c r="I386" t="s">
        <v>76</v>
      </c>
      <c r="J386" t="s">
        <v>77</v>
      </c>
      <c r="K386">
        <v>8</v>
      </c>
      <c r="L386">
        <v>38672.339999999997</v>
      </c>
      <c r="M386">
        <v>309378.71999999997</v>
      </c>
      <c r="N386">
        <f t="shared" si="16"/>
        <v>309378.71999999997</v>
      </c>
      <c r="O386" t="str">
        <f t="shared" si="17"/>
        <v>Medium</v>
      </c>
    </row>
    <row r="387" spans="1:15" x14ac:dyDescent="0.25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tr">
        <f t="shared" ref="F387:F450" si="18">IF(E387&lt;=25,"Young Adult",IF(E387&lt;=40,"Adult",IF(E387&lt;=55,"Middle Age","Senior")))</f>
        <v>Young Adult</v>
      </c>
      <c r="G387" t="s">
        <v>16</v>
      </c>
      <c r="H387" t="s">
        <v>35</v>
      </c>
      <c r="I387" t="s">
        <v>70</v>
      </c>
      <c r="J387" t="s">
        <v>71</v>
      </c>
      <c r="K387">
        <v>1</v>
      </c>
      <c r="L387">
        <v>48695.59</v>
      </c>
      <c r="M387">
        <v>48695.59</v>
      </c>
      <c r="N387">
        <f t="shared" ref="N387:N450" si="19">K387*L387</f>
        <v>48695.59</v>
      </c>
      <c r="O387" t="str">
        <f t="shared" ref="O387:O450" si="20">IF(M387&lt;165000,"Low",IF(M387&lt;=330000,"Medium","High"))</f>
        <v>Low</v>
      </c>
    </row>
    <row r="388" spans="1:15" x14ac:dyDescent="0.25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tr">
        <f t="shared" si="18"/>
        <v>Adult</v>
      </c>
      <c r="G388" t="s">
        <v>24</v>
      </c>
      <c r="H388" t="s">
        <v>46</v>
      </c>
      <c r="I388" t="s">
        <v>25</v>
      </c>
      <c r="J388" t="s">
        <v>26</v>
      </c>
      <c r="K388">
        <v>9</v>
      </c>
      <c r="L388">
        <v>41871.43</v>
      </c>
      <c r="M388">
        <v>376842.87</v>
      </c>
      <c r="N388">
        <f t="shared" si="19"/>
        <v>376842.87</v>
      </c>
      <c r="O388" t="str">
        <f t="shared" si="20"/>
        <v>High</v>
      </c>
    </row>
    <row r="389" spans="1:15" x14ac:dyDescent="0.25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tr">
        <f t="shared" si="18"/>
        <v>Senior</v>
      </c>
      <c r="G389" t="s">
        <v>24</v>
      </c>
      <c r="H389" t="s">
        <v>51</v>
      </c>
      <c r="I389" t="s">
        <v>36</v>
      </c>
      <c r="J389" t="s">
        <v>37</v>
      </c>
      <c r="K389">
        <v>6</v>
      </c>
      <c r="L389">
        <v>26179.81</v>
      </c>
      <c r="M389">
        <v>157078.85999999999</v>
      </c>
      <c r="N389">
        <f t="shared" si="19"/>
        <v>157078.86000000002</v>
      </c>
      <c r="O389" t="str">
        <f t="shared" si="20"/>
        <v>Low</v>
      </c>
    </row>
    <row r="390" spans="1:15" x14ac:dyDescent="0.25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tr">
        <f t="shared" si="18"/>
        <v>Middle Age</v>
      </c>
      <c r="G390" t="s">
        <v>24</v>
      </c>
      <c r="H390" t="s">
        <v>69</v>
      </c>
      <c r="I390" t="s">
        <v>70</v>
      </c>
      <c r="J390" t="s">
        <v>71</v>
      </c>
      <c r="K390">
        <v>1</v>
      </c>
      <c r="L390">
        <v>23398.57</v>
      </c>
      <c r="M390">
        <v>23398.57</v>
      </c>
      <c r="N390">
        <f t="shared" si="19"/>
        <v>23398.57</v>
      </c>
      <c r="O390" t="str">
        <f t="shared" si="20"/>
        <v>Low</v>
      </c>
    </row>
    <row r="391" spans="1:15" x14ac:dyDescent="0.25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tr">
        <f t="shared" si="18"/>
        <v>Young Adult</v>
      </c>
      <c r="G391" t="s">
        <v>24</v>
      </c>
      <c r="H391" t="s">
        <v>35</v>
      </c>
      <c r="I391" t="s">
        <v>47</v>
      </c>
      <c r="J391" t="s">
        <v>37</v>
      </c>
      <c r="K391">
        <v>5</v>
      </c>
      <c r="L391">
        <v>24596.560000000001</v>
      </c>
      <c r="M391">
        <v>122982.8</v>
      </c>
      <c r="N391">
        <f t="shared" si="19"/>
        <v>122982.8</v>
      </c>
      <c r="O391" t="str">
        <f t="shared" si="20"/>
        <v>Low</v>
      </c>
    </row>
    <row r="392" spans="1:15" x14ac:dyDescent="0.25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tr">
        <f t="shared" si="18"/>
        <v>Adult</v>
      </c>
      <c r="G392" t="s">
        <v>16</v>
      </c>
      <c r="H392" t="s">
        <v>17</v>
      </c>
      <c r="I392" t="s">
        <v>70</v>
      </c>
      <c r="J392" t="s">
        <v>71</v>
      </c>
      <c r="K392">
        <v>1</v>
      </c>
      <c r="L392">
        <v>35804.49</v>
      </c>
      <c r="M392">
        <v>35804.49</v>
      </c>
      <c r="N392">
        <f t="shared" si="19"/>
        <v>35804.49</v>
      </c>
      <c r="O392" t="str">
        <f t="shared" si="20"/>
        <v>Low</v>
      </c>
    </row>
    <row r="393" spans="1:15" x14ac:dyDescent="0.25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tr">
        <f t="shared" si="18"/>
        <v>Young Adult</v>
      </c>
      <c r="G393" t="s">
        <v>16</v>
      </c>
      <c r="H393" t="s">
        <v>46</v>
      </c>
      <c r="I393" t="s">
        <v>36</v>
      </c>
      <c r="J393" t="s">
        <v>37</v>
      </c>
      <c r="K393">
        <v>3</v>
      </c>
      <c r="L393">
        <v>36239.15</v>
      </c>
      <c r="M393">
        <v>108717.45</v>
      </c>
      <c r="N393">
        <f t="shared" si="19"/>
        <v>108717.45000000001</v>
      </c>
      <c r="O393" t="str">
        <f t="shared" si="20"/>
        <v>Low</v>
      </c>
    </row>
    <row r="394" spans="1:15" x14ac:dyDescent="0.25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tr">
        <f t="shared" si="18"/>
        <v>Adult</v>
      </c>
      <c r="G394" t="s">
        <v>16</v>
      </c>
      <c r="H394" t="s">
        <v>115</v>
      </c>
      <c r="I394" t="s">
        <v>70</v>
      </c>
      <c r="J394" t="s">
        <v>71</v>
      </c>
      <c r="K394">
        <v>5</v>
      </c>
      <c r="L394">
        <v>21143.07</v>
      </c>
      <c r="M394">
        <v>105715.35</v>
      </c>
      <c r="N394">
        <f t="shared" si="19"/>
        <v>105715.35</v>
      </c>
      <c r="O394" t="str">
        <f t="shared" si="20"/>
        <v>Low</v>
      </c>
    </row>
    <row r="395" spans="1:15" x14ac:dyDescent="0.25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tr">
        <f t="shared" si="18"/>
        <v>Middle Age</v>
      </c>
      <c r="G395" t="s">
        <v>24</v>
      </c>
      <c r="H395" t="s">
        <v>17</v>
      </c>
      <c r="I395" t="s">
        <v>18</v>
      </c>
      <c r="J395" t="s">
        <v>19</v>
      </c>
      <c r="K395">
        <v>8</v>
      </c>
      <c r="L395">
        <v>30277.06</v>
      </c>
      <c r="M395">
        <v>242216.48</v>
      </c>
      <c r="N395">
        <f t="shared" si="19"/>
        <v>242216.48</v>
      </c>
      <c r="O395" t="str">
        <f t="shared" si="20"/>
        <v>Medium</v>
      </c>
    </row>
    <row r="396" spans="1:15" x14ac:dyDescent="0.25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tr">
        <f t="shared" si="18"/>
        <v>Middle Age</v>
      </c>
      <c r="G396" t="s">
        <v>16</v>
      </c>
      <c r="H396" t="s">
        <v>60</v>
      </c>
      <c r="I396" t="s">
        <v>47</v>
      </c>
      <c r="J396" t="s">
        <v>37</v>
      </c>
      <c r="K396">
        <v>4</v>
      </c>
      <c r="L396">
        <v>41264.559999999998</v>
      </c>
      <c r="M396">
        <v>165058.23999999999</v>
      </c>
      <c r="N396">
        <f t="shared" si="19"/>
        <v>165058.23999999999</v>
      </c>
      <c r="O396" t="str">
        <f t="shared" si="20"/>
        <v>Medium</v>
      </c>
    </row>
    <row r="397" spans="1:15" x14ac:dyDescent="0.25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tr">
        <f t="shared" si="18"/>
        <v>Adult</v>
      </c>
      <c r="G397" t="s">
        <v>16</v>
      </c>
      <c r="H397" t="s">
        <v>102</v>
      </c>
      <c r="I397" t="s">
        <v>25</v>
      </c>
      <c r="J397" t="s">
        <v>26</v>
      </c>
      <c r="K397">
        <v>5</v>
      </c>
      <c r="L397">
        <v>11761.9</v>
      </c>
      <c r="M397">
        <v>58809.5</v>
      </c>
      <c r="N397">
        <f t="shared" si="19"/>
        <v>58809.5</v>
      </c>
      <c r="O397" t="str">
        <f t="shared" si="20"/>
        <v>Low</v>
      </c>
    </row>
    <row r="398" spans="1:15" x14ac:dyDescent="0.25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tr">
        <f t="shared" si="18"/>
        <v>Senior</v>
      </c>
      <c r="G398" t="s">
        <v>16</v>
      </c>
      <c r="H398" t="s">
        <v>17</v>
      </c>
      <c r="I398" t="s">
        <v>36</v>
      </c>
      <c r="J398" t="s">
        <v>37</v>
      </c>
      <c r="K398">
        <v>9</v>
      </c>
      <c r="L398">
        <v>48807.37</v>
      </c>
      <c r="M398">
        <v>439266.33</v>
      </c>
      <c r="N398">
        <f t="shared" si="19"/>
        <v>439266.33</v>
      </c>
      <c r="O398" t="str">
        <f t="shared" si="20"/>
        <v>High</v>
      </c>
    </row>
    <row r="399" spans="1:15" x14ac:dyDescent="0.25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tr">
        <f t="shared" si="18"/>
        <v>Senior</v>
      </c>
      <c r="G399" t="s">
        <v>16</v>
      </c>
      <c r="H399" t="s">
        <v>17</v>
      </c>
      <c r="I399" t="s">
        <v>18</v>
      </c>
      <c r="J399" t="s">
        <v>19</v>
      </c>
      <c r="K399">
        <v>4</v>
      </c>
      <c r="L399">
        <v>1895.99</v>
      </c>
      <c r="M399">
        <v>7583.96</v>
      </c>
      <c r="N399">
        <f t="shared" si="19"/>
        <v>7583.96</v>
      </c>
      <c r="O399" t="str">
        <f t="shared" si="20"/>
        <v>Low</v>
      </c>
    </row>
    <row r="400" spans="1:15" x14ac:dyDescent="0.25">
      <c r="A400" t="s">
        <v>1334</v>
      </c>
      <c r="B400" t="s">
        <v>195</v>
      </c>
      <c r="C400" t="s">
        <v>1335</v>
      </c>
      <c r="D400" t="s">
        <v>1336</v>
      </c>
      <c r="E400">
        <v>41</v>
      </c>
      <c r="F400" t="str">
        <f t="shared" si="18"/>
        <v>Middle Age</v>
      </c>
      <c r="G400" t="s">
        <v>16</v>
      </c>
      <c r="H400" t="s">
        <v>46</v>
      </c>
      <c r="I400" t="s">
        <v>25</v>
      </c>
      <c r="J400" t="s">
        <v>26</v>
      </c>
      <c r="K400">
        <v>3</v>
      </c>
      <c r="L400">
        <v>26269.62</v>
      </c>
      <c r="M400">
        <v>78808.86</v>
      </c>
      <c r="N400">
        <f t="shared" si="19"/>
        <v>78808.86</v>
      </c>
      <c r="O400" t="str">
        <f t="shared" si="20"/>
        <v>Low</v>
      </c>
    </row>
    <row r="401" spans="1:15" x14ac:dyDescent="0.25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tr">
        <f t="shared" si="18"/>
        <v>Adult</v>
      </c>
      <c r="G401" t="s">
        <v>24</v>
      </c>
      <c r="H401" t="s">
        <v>51</v>
      </c>
      <c r="I401" t="s">
        <v>36</v>
      </c>
      <c r="J401" t="s">
        <v>37</v>
      </c>
      <c r="K401">
        <v>2</v>
      </c>
      <c r="L401">
        <v>1793.29</v>
      </c>
      <c r="M401">
        <v>3586.58</v>
      </c>
      <c r="N401">
        <f t="shared" si="19"/>
        <v>3586.58</v>
      </c>
      <c r="O401" t="str">
        <f t="shared" si="20"/>
        <v>Low</v>
      </c>
    </row>
    <row r="402" spans="1:15" x14ac:dyDescent="0.25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tr">
        <f t="shared" si="18"/>
        <v>Adult</v>
      </c>
      <c r="G402" t="s">
        <v>16</v>
      </c>
      <c r="H402" t="s">
        <v>60</v>
      </c>
      <c r="I402" t="s">
        <v>70</v>
      </c>
      <c r="J402" t="s">
        <v>71</v>
      </c>
      <c r="K402">
        <v>5</v>
      </c>
      <c r="L402">
        <v>18223.060000000001</v>
      </c>
      <c r="M402">
        <v>91115.3</v>
      </c>
      <c r="N402">
        <f t="shared" si="19"/>
        <v>91115.3</v>
      </c>
      <c r="O402" t="str">
        <f t="shared" si="20"/>
        <v>Low</v>
      </c>
    </row>
    <row r="403" spans="1:15" x14ac:dyDescent="0.25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tr">
        <f t="shared" si="18"/>
        <v>Young Adult</v>
      </c>
      <c r="G403" t="s">
        <v>16</v>
      </c>
      <c r="H403" t="s">
        <v>102</v>
      </c>
      <c r="I403" t="s">
        <v>25</v>
      </c>
      <c r="J403" t="s">
        <v>26</v>
      </c>
      <c r="K403">
        <v>7</v>
      </c>
      <c r="L403">
        <v>43850.91</v>
      </c>
      <c r="M403">
        <v>306956.37</v>
      </c>
      <c r="N403">
        <f t="shared" si="19"/>
        <v>306956.37</v>
      </c>
      <c r="O403" t="str">
        <f t="shared" si="20"/>
        <v>Medium</v>
      </c>
    </row>
    <row r="404" spans="1:15" x14ac:dyDescent="0.25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tr">
        <f t="shared" si="18"/>
        <v>Middle Age</v>
      </c>
      <c r="G404" t="s">
        <v>16</v>
      </c>
      <c r="H404" t="s">
        <v>69</v>
      </c>
      <c r="I404" t="s">
        <v>25</v>
      </c>
      <c r="J404" t="s">
        <v>26</v>
      </c>
      <c r="K404">
        <v>1</v>
      </c>
      <c r="L404">
        <v>15617.29</v>
      </c>
      <c r="M404">
        <v>15617.29</v>
      </c>
      <c r="N404">
        <f t="shared" si="19"/>
        <v>15617.29</v>
      </c>
      <c r="O404" t="str">
        <f t="shared" si="20"/>
        <v>Low</v>
      </c>
    </row>
    <row r="405" spans="1:15" x14ac:dyDescent="0.25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tr">
        <f t="shared" si="18"/>
        <v>Adult</v>
      </c>
      <c r="G405" t="s">
        <v>24</v>
      </c>
      <c r="H405" t="s">
        <v>51</v>
      </c>
      <c r="I405" t="s">
        <v>70</v>
      </c>
      <c r="J405" t="s">
        <v>71</v>
      </c>
      <c r="K405">
        <v>2</v>
      </c>
      <c r="L405">
        <v>36062.36</v>
      </c>
      <c r="M405">
        <v>72124.72</v>
      </c>
      <c r="N405">
        <f t="shared" si="19"/>
        <v>72124.72</v>
      </c>
      <c r="O405" t="str">
        <f t="shared" si="20"/>
        <v>Low</v>
      </c>
    </row>
    <row r="406" spans="1:15" x14ac:dyDescent="0.25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tr">
        <f t="shared" si="18"/>
        <v>Middle Age</v>
      </c>
      <c r="G406" t="s">
        <v>24</v>
      </c>
      <c r="H406" t="s">
        <v>51</v>
      </c>
      <c r="I406" t="s">
        <v>36</v>
      </c>
      <c r="J406" t="s">
        <v>37</v>
      </c>
      <c r="K406">
        <v>2</v>
      </c>
      <c r="L406">
        <v>24194.959999999999</v>
      </c>
      <c r="M406">
        <v>48389.919999999998</v>
      </c>
      <c r="N406">
        <f t="shared" si="19"/>
        <v>48389.919999999998</v>
      </c>
      <c r="O406" t="str">
        <f t="shared" si="20"/>
        <v>Low</v>
      </c>
    </row>
    <row r="407" spans="1:15" x14ac:dyDescent="0.25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tr">
        <f t="shared" si="18"/>
        <v>Middle Age</v>
      </c>
      <c r="G407" t="s">
        <v>24</v>
      </c>
      <c r="H407" t="s">
        <v>60</v>
      </c>
      <c r="I407" t="s">
        <v>70</v>
      </c>
      <c r="J407" t="s">
        <v>71</v>
      </c>
      <c r="K407">
        <v>3</v>
      </c>
      <c r="L407">
        <v>46253.94</v>
      </c>
      <c r="M407">
        <v>138761.82</v>
      </c>
      <c r="N407">
        <f t="shared" si="19"/>
        <v>138761.82</v>
      </c>
      <c r="O407" t="str">
        <f t="shared" si="20"/>
        <v>Low</v>
      </c>
    </row>
    <row r="408" spans="1:15" x14ac:dyDescent="0.25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tr">
        <f t="shared" si="18"/>
        <v>Senior</v>
      </c>
      <c r="G408" t="s">
        <v>16</v>
      </c>
      <c r="H408" t="s">
        <v>46</v>
      </c>
      <c r="I408" t="s">
        <v>76</v>
      </c>
      <c r="J408" t="s">
        <v>77</v>
      </c>
      <c r="K408">
        <v>1</v>
      </c>
      <c r="L408">
        <v>22534.47</v>
      </c>
      <c r="M408">
        <v>22534.47</v>
      </c>
      <c r="N408">
        <f t="shared" si="19"/>
        <v>22534.47</v>
      </c>
      <c r="O408" t="str">
        <f t="shared" si="20"/>
        <v>Low</v>
      </c>
    </row>
    <row r="409" spans="1:15" x14ac:dyDescent="0.25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tr">
        <f t="shared" si="18"/>
        <v>Senior</v>
      </c>
      <c r="G409" t="s">
        <v>16</v>
      </c>
      <c r="H409" t="s">
        <v>17</v>
      </c>
      <c r="I409" t="s">
        <v>70</v>
      </c>
      <c r="J409" t="s">
        <v>71</v>
      </c>
      <c r="K409">
        <v>5</v>
      </c>
      <c r="L409">
        <v>23003.279999999999</v>
      </c>
      <c r="M409">
        <v>115016.4</v>
      </c>
      <c r="N409">
        <f t="shared" si="19"/>
        <v>115016.4</v>
      </c>
      <c r="O409" t="str">
        <f t="shared" si="20"/>
        <v>Low</v>
      </c>
    </row>
    <row r="410" spans="1:15" x14ac:dyDescent="0.25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tr">
        <f t="shared" si="18"/>
        <v>Adult</v>
      </c>
      <c r="G410" t="s">
        <v>16</v>
      </c>
      <c r="H410" t="s">
        <v>115</v>
      </c>
      <c r="I410" t="s">
        <v>47</v>
      </c>
      <c r="J410" t="s">
        <v>37</v>
      </c>
      <c r="K410">
        <v>5</v>
      </c>
      <c r="L410">
        <v>6619.66</v>
      </c>
      <c r="M410">
        <v>33098.300000000003</v>
      </c>
      <c r="N410">
        <f t="shared" si="19"/>
        <v>33098.300000000003</v>
      </c>
      <c r="O410" t="str">
        <f t="shared" si="20"/>
        <v>Low</v>
      </c>
    </row>
    <row r="411" spans="1:15" x14ac:dyDescent="0.25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tr">
        <f t="shared" si="18"/>
        <v>Senior</v>
      </c>
      <c r="G411" t="s">
        <v>24</v>
      </c>
      <c r="H411" t="s">
        <v>35</v>
      </c>
      <c r="I411" t="s">
        <v>25</v>
      </c>
      <c r="J411" t="s">
        <v>26</v>
      </c>
      <c r="K411">
        <v>4</v>
      </c>
      <c r="L411">
        <v>7231.17</v>
      </c>
      <c r="M411">
        <v>28924.68</v>
      </c>
      <c r="N411">
        <f t="shared" si="19"/>
        <v>28924.68</v>
      </c>
      <c r="O411" t="str">
        <f t="shared" si="20"/>
        <v>Low</v>
      </c>
    </row>
    <row r="412" spans="1:15" x14ac:dyDescent="0.25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tr">
        <f t="shared" si="18"/>
        <v>Young Adult</v>
      </c>
      <c r="G412" t="s">
        <v>24</v>
      </c>
      <c r="H412" t="s">
        <v>51</v>
      </c>
      <c r="I412" t="s">
        <v>25</v>
      </c>
      <c r="J412" t="s">
        <v>26</v>
      </c>
      <c r="K412">
        <v>10</v>
      </c>
      <c r="L412">
        <v>14441.39</v>
      </c>
      <c r="M412">
        <v>144413.9</v>
      </c>
      <c r="N412">
        <f t="shared" si="19"/>
        <v>144413.9</v>
      </c>
      <c r="O412" t="str">
        <f t="shared" si="20"/>
        <v>Low</v>
      </c>
    </row>
    <row r="413" spans="1:15" x14ac:dyDescent="0.25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tr">
        <f t="shared" si="18"/>
        <v>Senior</v>
      </c>
      <c r="G413" t="s">
        <v>24</v>
      </c>
      <c r="H413" t="s">
        <v>51</v>
      </c>
      <c r="I413" t="s">
        <v>47</v>
      </c>
      <c r="J413" t="s">
        <v>37</v>
      </c>
      <c r="K413">
        <v>4</v>
      </c>
      <c r="L413">
        <v>39636.15</v>
      </c>
      <c r="M413">
        <v>158544.6</v>
      </c>
      <c r="N413">
        <f t="shared" si="19"/>
        <v>158544.6</v>
      </c>
      <c r="O413" t="str">
        <f t="shared" si="20"/>
        <v>Low</v>
      </c>
    </row>
    <row r="414" spans="1:15" x14ac:dyDescent="0.25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tr">
        <f t="shared" si="18"/>
        <v>Adult</v>
      </c>
      <c r="G414" t="s">
        <v>16</v>
      </c>
      <c r="H414" t="s">
        <v>51</v>
      </c>
      <c r="I414" t="s">
        <v>70</v>
      </c>
      <c r="J414" t="s">
        <v>71</v>
      </c>
      <c r="K414">
        <v>10</v>
      </c>
      <c r="L414">
        <v>6633.6</v>
      </c>
      <c r="M414">
        <v>66336</v>
      </c>
      <c r="N414">
        <f t="shared" si="19"/>
        <v>66336</v>
      </c>
      <c r="O414" t="str">
        <f t="shared" si="20"/>
        <v>Low</v>
      </c>
    </row>
    <row r="415" spans="1:15" x14ac:dyDescent="0.25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tr">
        <f t="shared" si="18"/>
        <v>Middle Age</v>
      </c>
      <c r="G415" t="s">
        <v>16</v>
      </c>
      <c r="H415" t="s">
        <v>102</v>
      </c>
      <c r="I415" t="s">
        <v>36</v>
      </c>
      <c r="J415" t="s">
        <v>37</v>
      </c>
      <c r="K415">
        <v>6</v>
      </c>
      <c r="L415">
        <v>31722.52</v>
      </c>
      <c r="M415">
        <v>190335.12</v>
      </c>
      <c r="N415">
        <f t="shared" si="19"/>
        <v>190335.12</v>
      </c>
      <c r="O415" t="str">
        <f t="shared" si="20"/>
        <v>Medium</v>
      </c>
    </row>
    <row r="416" spans="1:15" x14ac:dyDescent="0.25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tr">
        <f t="shared" si="18"/>
        <v>Senior</v>
      </c>
      <c r="G416" t="s">
        <v>16</v>
      </c>
      <c r="H416" t="s">
        <v>102</v>
      </c>
      <c r="I416" t="s">
        <v>18</v>
      </c>
      <c r="J416" t="s">
        <v>19</v>
      </c>
      <c r="K416">
        <v>3</v>
      </c>
      <c r="L416">
        <v>24990.09</v>
      </c>
      <c r="M416">
        <v>74970.27</v>
      </c>
      <c r="N416">
        <f t="shared" si="19"/>
        <v>74970.27</v>
      </c>
      <c r="O416" t="str">
        <f t="shared" si="20"/>
        <v>Low</v>
      </c>
    </row>
    <row r="417" spans="1:15" x14ac:dyDescent="0.25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tr">
        <f t="shared" si="18"/>
        <v>Senior</v>
      </c>
      <c r="G417" t="s">
        <v>24</v>
      </c>
      <c r="H417" t="s">
        <v>17</v>
      </c>
      <c r="I417" t="s">
        <v>76</v>
      </c>
      <c r="J417" t="s">
        <v>77</v>
      </c>
      <c r="K417">
        <v>6</v>
      </c>
      <c r="L417">
        <v>26716.59</v>
      </c>
      <c r="M417">
        <v>160299.54</v>
      </c>
      <c r="N417">
        <f t="shared" si="19"/>
        <v>160299.54</v>
      </c>
      <c r="O417" t="str">
        <f t="shared" si="20"/>
        <v>Low</v>
      </c>
    </row>
    <row r="418" spans="1:15" x14ac:dyDescent="0.25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tr">
        <f t="shared" si="18"/>
        <v>Adult</v>
      </c>
      <c r="G418" t="s">
        <v>16</v>
      </c>
      <c r="H418" t="s">
        <v>35</v>
      </c>
      <c r="I418" t="s">
        <v>36</v>
      </c>
      <c r="J418" t="s">
        <v>37</v>
      </c>
      <c r="K418">
        <v>8</v>
      </c>
      <c r="L418">
        <v>28813.93</v>
      </c>
      <c r="M418">
        <v>230511.44</v>
      </c>
      <c r="N418">
        <f t="shared" si="19"/>
        <v>230511.44</v>
      </c>
      <c r="O418" t="str">
        <f t="shared" si="20"/>
        <v>Medium</v>
      </c>
    </row>
    <row r="419" spans="1:15" x14ac:dyDescent="0.25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tr">
        <f t="shared" si="18"/>
        <v>Middle Age</v>
      </c>
      <c r="G419" t="s">
        <v>24</v>
      </c>
      <c r="H419" t="s">
        <v>17</v>
      </c>
      <c r="I419" t="s">
        <v>70</v>
      </c>
      <c r="J419" t="s">
        <v>71</v>
      </c>
      <c r="K419">
        <v>2</v>
      </c>
      <c r="L419">
        <v>2209.4299999999998</v>
      </c>
      <c r="M419">
        <v>4418.8599999999997</v>
      </c>
      <c r="N419">
        <f t="shared" si="19"/>
        <v>4418.8599999999997</v>
      </c>
      <c r="O419" t="str">
        <f t="shared" si="20"/>
        <v>Low</v>
      </c>
    </row>
    <row r="420" spans="1:15" x14ac:dyDescent="0.25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tr">
        <f t="shared" si="18"/>
        <v>Middle Age</v>
      </c>
      <c r="G420" t="s">
        <v>24</v>
      </c>
      <c r="H420" t="s">
        <v>69</v>
      </c>
      <c r="I420" t="s">
        <v>36</v>
      </c>
      <c r="J420" t="s">
        <v>37</v>
      </c>
      <c r="K420">
        <v>2</v>
      </c>
      <c r="L420">
        <v>572.39</v>
      </c>
      <c r="M420">
        <v>1144.78</v>
      </c>
      <c r="N420">
        <f t="shared" si="19"/>
        <v>1144.78</v>
      </c>
      <c r="O420" t="str">
        <f t="shared" si="20"/>
        <v>Low</v>
      </c>
    </row>
    <row r="421" spans="1:15" x14ac:dyDescent="0.25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tr">
        <f t="shared" si="18"/>
        <v>Adult</v>
      </c>
      <c r="G421" t="s">
        <v>24</v>
      </c>
      <c r="H421" t="s">
        <v>51</v>
      </c>
      <c r="I421" t="s">
        <v>76</v>
      </c>
      <c r="J421" t="s">
        <v>77</v>
      </c>
      <c r="K421">
        <v>5</v>
      </c>
      <c r="L421">
        <v>26522.29</v>
      </c>
      <c r="M421">
        <v>132611.45000000001</v>
      </c>
      <c r="N421">
        <f t="shared" si="19"/>
        <v>132611.45000000001</v>
      </c>
      <c r="O421" t="str">
        <f t="shared" si="20"/>
        <v>Low</v>
      </c>
    </row>
    <row r="422" spans="1:15" x14ac:dyDescent="0.25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tr">
        <f t="shared" si="18"/>
        <v>Young Adult</v>
      </c>
      <c r="G422" t="s">
        <v>24</v>
      </c>
      <c r="H422" t="s">
        <v>46</v>
      </c>
      <c r="I422" t="s">
        <v>47</v>
      </c>
      <c r="J422" t="s">
        <v>37</v>
      </c>
      <c r="K422">
        <v>2</v>
      </c>
      <c r="L422">
        <v>25875.53</v>
      </c>
      <c r="M422">
        <v>51751.06</v>
      </c>
      <c r="N422">
        <f t="shared" si="19"/>
        <v>51751.06</v>
      </c>
      <c r="O422" t="str">
        <f t="shared" si="20"/>
        <v>Low</v>
      </c>
    </row>
    <row r="423" spans="1:15" x14ac:dyDescent="0.25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tr">
        <f t="shared" si="18"/>
        <v>Senior</v>
      </c>
      <c r="G423" t="s">
        <v>24</v>
      </c>
      <c r="H423" t="s">
        <v>102</v>
      </c>
      <c r="I423" t="s">
        <v>36</v>
      </c>
      <c r="J423" t="s">
        <v>37</v>
      </c>
      <c r="K423">
        <v>9</v>
      </c>
      <c r="L423">
        <v>37176.15</v>
      </c>
      <c r="M423">
        <v>334585.34999999998</v>
      </c>
      <c r="N423">
        <f t="shared" si="19"/>
        <v>334585.35000000003</v>
      </c>
      <c r="O423" t="str">
        <f t="shared" si="20"/>
        <v>High</v>
      </c>
    </row>
    <row r="424" spans="1:15" x14ac:dyDescent="0.25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tr">
        <f t="shared" si="18"/>
        <v>Adult</v>
      </c>
      <c r="G424" t="s">
        <v>16</v>
      </c>
      <c r="H424" t="s">
        <v>115</v>
      </c>
      <c r="I424" t="s">
        <v>47</v>
      </c>
      <c r="J424" t="s">
        <v>37</v>
      </c>
      <c r="K424">
        <v>10</v>
      </c>
      <c r="L424">
        <v>315.67</v>
      </c>
      <c r="M424">
        <v>3156.7</v>
      </c>
      <c r="N424">
        <f t="shared" si="19"/>
        <v>3156.7000000000003</v>
      </c>
      <c r="O424" t="str">
        <f t="shared" si="20"/>
        <v>Low</v>
      </c>
    </row>
    <row r="425" spans="1:15" x14ac:dyDescent="0.25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tr">
        <f t="shared" si="18"/>
        <v>Middle Age</v>
      </c>
      <c r="G425" t="s">
        <v>24</v>
      </c>
      <c r="H425" t="s">
        <v>51</v>
      </c>
      <c r="I425" t="s">
        <v>36</v>
      </c>
      <c r="J425" t="s">
        <v>37</v>
      </c>
      <c r="K425">
        <v>1</v>
      </c>
      <c r="L425">
        <v>30640.69</v>
      </c>
      <c r="M425">
        <v>30640.69</v>
      </c>
      <c r="N425">
        <f t="shared" si="19"/>
        <v>30640.69</v>
      </c>
      <c r="O425" t="str">
        <f t="shared" si="20"/>
        <v>Low</v>
      </c>
    </row>
    <row r="426" spans="1:15" x14ac:dyDescent="0.25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tr">
        <f t="shared" si="18"/>
        <v>Senior</v>
      </c>
      <c r="G426" t="s">
        <v>16</v>
      </c>
      <c r="H426" t="s">
        <v>102</v>
      </c>
      <c r="I426" t="s">
        <v>47</v>
      </c>
      <c r="J426" t="s">
        <v>37</v>
      </c>
      <c r="K426">
        <v>8</v>
      </c>
      <c r="L426">
        <v>23432.880000000001</v>
      </c>
      <c r="M426">
        <v>187463.04000000001</v>
      </c>
      <c r="N426">
        <f t="shared" si="19"/>
        <v>187463.04000000001</v>
      </c>
      <c r="O426" t="str">
        <f t="shared" si="20"/>
        <v>Medium</v>
      </c>
    </row>
    <row r="427" spans="1:15" x14ac:dyDescent="0.25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tr">
        <f t="shared" si="18"/>
        <v>Adult</v>
      </c>
      <c r="G427" t="s">
        <v>16</v>
      </c>
      <c r="H427" t="s">
        <v>102</v>
      </c>
      <c r="I427" t="s">
        <v>47</v>
      </c>
      <c r="J427" t="s">
        <v>37</v>
      </c>
      <c r="K427">
        <v>3</v>
      </c>
      <c r="L427">
        <v>29297.53</v>
      </c>
      <c r="M427">
        <v>87892.59</v>
      </c>
      <c r="N427">
        <f t="shared" si="19"/>
        <v>87892.59</v>
      </c>
      <c r="O427" t="str">
        <f t="shared" si="20"/>
        <v>Low</v>
      </c>
    </row>
    <row r="428" spans="1:15" x14ac:dyDescent="0.25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tr">
        <f t="shared" si="18"/>
        <v>Young Adult</v>
      </c>
      <c r="G428" t="s">
        <v>24</v>
      </c>
      <c r="H428" t="s">
        <v>69</v>
      </c>
      <c r="I428" t="s">
        <v>76</v>
      </c>
      <c r="J428" t="s">
        <v>77</v>
      </c>
      <c r="K428">
        <v>6</v>
      </c>
      <c r="L428">
        <v>33928.269999999997</v>
      </c>
      <c r="M428">
        <v>203569.62</v>
      </c>
      <c r="N428">
        <f t="shared" si="19"/>
        <v>203569.62</v>
      </c>
      <c r="O428" t="str">
        <f t="shared" si="20"/>
        <v>Medium</v>
      </c>
    </row>
    <row r="429" spans="1:15" x14ac:dyDescent="0.25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tr">
        <f t="shared" si="18"/>
        <v>Middle Age</v>
      </c>
      <c r="G429" t="s">
        <v>24</v>
      </c>
      <c r="H429" t="s">
        <v>46</v>
      </c>
      <c r="I429" t="s">
        <v>25</v>
      </c>
      <c r="J429" t="s">
        <v>26</v>
      </c>
      <c r="K429">
        <v>6</v>
      </c>
      <c r="L429">
        <v>13857.45</v>
      </c>
      <c r="M429">
        <v>83144.7</v>
      </c>
      <c r="N429">
        <f t="shared" si="19"/>
        <v>83144.700000000012</v>
      </c>
      <c r="O429" t="str">
        <f t="shared" si="20"/>
        <v>Low</v>
      </c>
    </row>
    <row r="430" spans="1:15" x14ac:dyDescent="0.25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tr">
        <f t="shared" si="18"/>
        <v>Young Adult</v>
      </c>
      <c r="G430" t="s">
        <v>16</v>
      </c>
      <c r="H430" t="s">
        <v>60</v>
      </c>
      <c r="I430" t="s">
        <v>47</v>
      </c>
      <c r="J430" t="s">
        <v>37</v>
      </c>
      <c r="K430">
        <v>9</v>
      </c>
      <c r="L430">
        <v>29804.26</v>
      </c>
      <c r="M430">
        <v>268238.34000000003</v>
      </c>
      <c r="N430">
        <f t="shared" si="19"/>
        <v>268238.33999999997</v>
      </c>
      <c r="O430" t="str">
        <f t="shared" si="20"/>
        <v>Medium</v>
      </c>
    </row>
    <row r="431" spans="1:15" x14ac:dyDescent="0.25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tr">
        <f t="shared" si="18"/>
        <v>Adult</v>
      </c>
      <c r="G431" t="s">
        <v>24</v>
      </c>
      <c r="H431" t="s">
        <v>69</v>
      </c>
      <c r="I431" t="s">
        <v>70</v>
      </c>
      <c r="J431" t="s">
        <v>71</v>
      </c>
      <c r="K431">
        <v>9</v>
      </c>
      <c r="L431">
        <v>12279.11</v>
      </c>
      <c r="M431">
        <v>110511.99</v>
      </c>
      <c r="N431">
        <f t="shared" si="19"/>
        <v>110511.99</v>
      </c>
      <c r="O431" t="str">
        <f t="shared" si="20"/>
        <v>Low</v>
      </c>
    </row>
    <row r="432" spans="1:15" x14ac:dyDescent="0.25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tr">
        <f t="shared" si="18"/>
        <v>Adult</v>
      </c>
      <c r="G432" t="s">
        <v>24</v>
      </c>
      <c r="H432" t="s">
        <v>69</v>
      </c>
      <c r="I432" t="s">
        <v>36</v>
      </c>
      <c r="J432" t="s">
        <v>37</v>
      </c>
      <c r="K432">
        <v>6</v>
      </c>
      <c r="L432">
        <v>5060.75</v>
      </c>
      <c r="M432">
        <v>30364.5</v>
      </c>
      <c r="N432">
        <f t="shared" si="19"/>
        <v>30364.5</v>
      </c>
      <c r="O432" t="str">
        <f t="shared" si="20"/>
        <v>Low</v>
      </c>
    </row>
    <row r="433" spans="1:15" x14ac:dyDescent="0.25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tr">
        <f t="shared" si="18"/>
        <v>Middle Age</v>
      </c>
      <c r="G433" t="s">
        <v>24</v>
      </c>
      <c r="H433" t="s">
        <v>35</v>
      </c>
      <c r="I433" t="s">
        <v>47</v>
      </c>
      <c r="J433" t="s">
        <v>37</v>
      </c>
      <c r="K433">
        <v>2</v>
      </c>
      <c r="L433">
        <v>42427.93</v>
      </c>
      <c r="M433">
        <v>84855.86</v>
      </c>
      <c r="N433">
        <f t="shared" si="19"/>
        <v>84855.86</v>
      </c>
      <c r="O433" t="str">
        <f t="shared" si="20"/>
        <v>Low</v>
      </c>
    </row>
    <row r="434" spans="1:15" x14ac:dyDescent="0.25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tr">
        <f t="shared" si="18"/>
        <v>Adult</v>
      </c>
      <c r="G434" t="s">
        <v>24</v>
      </c>
      <c r="H434" t="s">
        <v>69</v>
      </c>
      <c r="I434" t="s">
        <v>36</v>
      </c>
      <c r="J434" t="s">
        <v>37</v>
      </c>
      <c r="K434">
        <v>10</v>
      </c>
      <c r="L434">
        <v>43997.22</v>
      </c>
      <c r="M434">
        <v>439972.2</v>
      </c>
      <c r="N434">
        <f t="shared" si="19"/>
        <v>439972.2</v>
      </c>
      <c r="O434" t="str">
        <f t="shared" si="20"/>
        <v>High</v>
      </c>
    </row>
    <row r="435" spans="1:15" x14ac:dyDescent="0.25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tr">
        <f t="shared" si="18"/>
        <v>Adult</v>
      </c>
      <c r="G435" t="s">
        <v>24</v>
      </c>
      <c r="H435" t="s">
        <v>51</v>
      </c>
      <c r="I435" t="s">
        <v>18</v>
      </c>
      <c r="J435" t="s">
        <v>19</v>
      </c>
      <c r="K435">
        <v>1</v>
      </c>
      <c r="L435">
        <v>28812.06</v>
      </c>
      <c r="M435">
        <v>28812.06</v>
      </c>
      <c r="N435">
        <f t="shared" si="19"/>
        <v>28812.06</v>
      </c>
      <c r="O435" t="str">
        <f t="shared" si="20"/>
        <v>Low</v>
      </c>
    </row>
    <row r="436" spans="1:15" x14ac:dyDescent="0.25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tr">
        <f t="shared" si="18"/>
        <v>Adult</v>
      </c>
      <c r="G436" t="s">
        <v>16</v>
      </c>
      <c r="H436" t="s">
        <v>102</v>
      </c>
      <c r="I436" t="s">
        <v>36</v>
      </c>
      <c r="J436" t="s">
        <v>37</v>
      </c>
      <c r="K436">
        <v>1</v>
      </c>
      <c r="L436">
        <v>1229.02</v>
      </c>
      <c r="M436">
        <v>1229.02</v>
      </c>
      <c r="N436">
        <f t="shared" si="19"/>
        <v>1229.02</v>
      </c>
      <c r="O436" t="str">
        <f t="shared" si="20"/>
        <v>Low</v>
      </c>
    </row>
    <row r="437" spans="1:15" x14ac:dyDescent="0.25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tr">
        <f t="shared" si="18"/>
        <v>Young Adult</v>
      </c>
      <c r="G437" t="s">
        <v>24</v>
      </c>
      <c r="H437" t="s">
        <v>115</v>
      </c>
      <c r="I437" t="s">
        <v>36</v>
      </c>
      <c r="J437" t="s">
        <v>37</v>
      </c>
      <c r="K437">
        <v>3</v>
      </c>
      <c r="L437">
        <v>29528.77</v>
      </c>
      <c r="M437">
        <v>88586.31</v>
      </c>
      <c r="N437">
        <f t="shared" si="19"/>
        <v>88586.31</v>
      </c>
      <c r="O437" t="str">
        <f t="shared" si="20"/>
        <v>Low</v>
      </c>
    </row>
    <row r="438" spans="1:15" x14ac:dyDescent="0.25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tr">
        <f t="shared" si="18"/>
        <v>Middle Age</v>
      </c>
      <c r="G438" t="s">
        <v>16</v>
      </c>
      <c r="H438" t="s">
        <v>60</v>
      </c>
      <c r="I438" t="s">
        <v>76</v>
      </c>
      <c r="J438" t="s">
        <v>77</v>
      </c>
      <c r="K438">
        <v>9</v>
      </c>
      <c r="L438">
        <v>24864.11</v>
      </c>
      <c r="M438">
        <v>223776.99</v>
      </c>
      <c r="N438">
        <f t="shared" si="19"/>
        <v>223776.99</v>
      </c>
      <c r="O438" t="str">
        <f t="shared" si="20"/>
        <v>Medium</v>
      </c>
    </row>
    <row r="439" spans="1:15" x14ac:dyDescent="0.25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tr">
        <f t="shared" si="18"/>
        <v>Adult</v>
      </c>
      <c r="G439" t="s">
        <v>16</v>
      </c>
      <c r="H439" t="s">
        <v>17</v>
      </c>
      <c r="I439" t="s">
        <v>25</v>
      </c>
      <c r="J439" t="s">
        <v>26</v>
      </c>
      <c r="K439">
        <v>8</v>
      </c>
      <c r="L439">
        <v>11693.63</v>
      </c>
      <c r="M439">
        <v>93549.04</v>
      </c>
      <c r="N439">
        <f t="shared" si="19"/>
        <v>93549.04</v>
      </c>
      <c r="O439" t="str">
        <f t="shared" si="20"/>
        <v>Low</v>
      </c>
    </row>
    <row r="440" spans="1:15" x14ac:dyDescent="0.25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tr">
        <f t="shared" si="18"/>
        <v>Middle Age</v>
      </c>
      <c r="G440" t="s">
        <v>16</v>
      </c>
      <c r="H440" t="s">
        <v>102</v>
      </c>
      <c r="I440" t="s">
        <v>70</v>
      </c>
      <c r="J440" t="s">
        <v>71</v>
      </c>
      <c r="K440">
        <v>2</v>
      </c>
      <c r="L440">
        <v>5988.17</v>
      </c>
      <c r="M440">
        <v>11976.34</v>
      </c>
      <c r="N440">
        <f t="shared" si="19"/>
        <v>11976.34</v>
      </c>
      <c r="O440" t="str">
        <f t="shared" si="20"/>
        <v>Low</v>
      </c>
    </row>
    <row r="441" spans="1:15" x14ac:dyDescent="0.25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tr">
        <f t="shared" si="18"/>
        <v>Adult</v>
      </c>
      <c r="G441" t="s">
        <v>24</v>
      </c>
      <c r="H441" t="s">
        <v>115</v>
      </c>
      <c r="I441" t="s">
        <v>36</v>
      </c>
      <c r="J441" t="s">
        <v>37</v>
      </c>
      <c r="K441">
        <v>1</v>
      </c>
      <c r="L441">
        <v>3839.04</v>
      </c>
      <c r="M441">
        <v>3839.04</v>
      </c>
      <c r="N441">
        <f t="shared" si="19"/>
        <v>3839.04</v>
      </c>
      <c r="O441" t="str">
        <f t="shared" si="20"/>
        <v>Low</v>
      </c>
    </row>
    <row r="442" spans="1:15" x14ac:dyDescent="0.25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tr">
        <f t="shared" si="18"/>
        <v>Young Adult</v>
      </c>
      <c r="G442" t="s">
        <v>24</v>
      </c>
      <c r="H442" t="s">
        <v>69</v>
      </c>
      <c r="I442" t="s">
        <v>76</v>
      </c>
      <c r="J442" t="s">
        <v>77</v>
      </c>
      <c r="K442">
        <v>5</v>
      </c>
      <c r="L442">
        <v>3146.73</v>
      </c>
      <c r="M442">
        <v>15733.65</v>
      </c>
      <c r="N442">
        <f t="shared" si="19"/>
        <v>15733.65</v>
      </c>
      <c r="O442" t="str">
        <f t="shared" si="20"/>
        <v>Low</v>
      </c>
    </row>
    <row r="443" spans="1:15" x14ac:dyDescent="0.25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tr">
        <f t="shared" si="18"/>
        <v>Young Adult</v>
      </c>
      <c r="G443" t="s">
        <v>24</v>
      </c>
      <c r="H443" t="s">
        <v>60</v>
      </c>
      <c r="I443" t="s">
        <v>76</v>
      </c>
      <c r="J443" t="s">
        <v>77</v>
      </c>
      <c r="K443">
        <v>7</v>
      </c>
      <c r="L443">
        <v>33771.26</v>
      </c>
      <c r="M443">
        <v>236398.82</v>
      </c>
      <c r="N443">
        <f t="shared" si="19"/>
        <v>236398.82</v>
      </c>
      <c r="O443" t="str">
        <f t="shared" si="20"/>
        <v>Medium</v>
      </c>
    </row>
    <row r="444" spans="1:15" x14ac:dyDescent="0.25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tr">
        <f t="shared" si="18"/>
        <v>Middle Age</v>
      </c>
      <c r="G444" t="s">
        <v>24</v>
      </c>
      <c r="H444" t="s">
        <v>69</v>
      </c>
      <c r="I444" t="s">
        <v>36</v>
      </c>
      <c r="J444" t="s">
        <v>37</v>
      </c>
      <c r="K444">
        <v>3</v>
      </c>
      <c r="L444">
        <v>28342.81</v>
      </c>
      <c r="M444">
        <v>85028.43</v>
      </c>
      <c r="N444">
        <f t="shared" si="19"/>
        <v>85028.430000000008</v>
      </c>
      <c r="O444" t="str">
        <f t="shared" si="20"/>
        <v>Low</v>
      </c>
    </row>
    <row r="445" spans="1:15" x14ac:dyDescent="0.25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tr">
        <f t="shared" si="18"/>
        <v>Adult</v>
      </c>
      <c r="G445" t="s">
        <v>24</v>
      </c>
      <c r="H445" t="s">
        <v>35</v>
      </c>
      <c r="I445" t="s">
        <v>36</v>
      </c>
      <c r="J445" t="s">
        <v>37</v>
      </c>
      <c r="K445">
        <v>5</v>
      </c>
      <c r="L445">
        <v>48457.94</v>
      </c>
      <c r="M445">
        <v>242289.7</v>
      </c>
      <c r="N445">
        <f t="shared" si="19"/>
        <v>242289.7</v>
      </c>
      <c r="O445" t="str">
        <f t="shared" si="20"/>
        <v>Medium</v>
      </c>
    </row>
    <row r="446" spans="1:15" x14ac:dyDescent="0.25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tr">
        <f t="shared" si="18"/>
        <v>Middle Age</v>
      </c>
      <c r="G446" t="s">
        <v>24</v>
      </c>
      <c r="H446" t="s">
        <v>35</v>
      </c>
      <c r="I446" t="s">
        <v>25</v>
      </c>
      <c r="J446" t="s">
        <v>26</v>
      </c>
      <c r="K446">
        <v>2</v>
      </c>
      <c r="L446">
        <v>41096.75</v>
      </c>
      <c r="M446">
        <v>82193.5</v>
      </c>
      <c r="N446">
        <f t="shared" si="19"/>
        <v>82193.5</v>
      </c>
      <c r="O446" t="str">
        <f t="shared" si="20"/>
        <v>Low</v>
      </c>
    </row>
    <row r="447" spans="1:15" x14ac:dyDescent="0.25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tr">
        <f t="shared" si="18"/>
        <v>Middle Age</v>
      </c>
      <c r="G447" t="s">
        <v>24</v>
      </c>
      <c r="H447" t="s">
        <v>102</v>
      </c>
      <c r="I447" t="s">
        <v>36</v>
      </c>
      <c r="J447" t="s">
        <v>37</v>
      </c>
      <c r="K447">
        <v>9</v>
      </c>
      <c r="L447">
        <v>19415.21</v>
      </c>
      <c r="M447">
        <v>174736.89</v>
      </c>
      <c r="N447">
        <f t="shared" si="19"/>
        <v>174736.88999999998</v>
      </c>
      <c r="O447" t="str">
        <f t="shared" si="20"/>
        <v>Medium</v>
      </c>
    </row>
    <row r="448" spans="1:15" x14ac:dyDescent="0.25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tr">
        <f t="shared" si="18"/>
        <v>Middle Age</v>
      </c>
      <c r="G448" t="s">
        <v>16</v>
      </c>
      <c r="H448" t="s">
        <v>102</v>
      </c>
      <c r="I448" t="s">
        <v>70</v>
      </c>
      <c r="J448" t="s">
        <v>71</v>
      </c>
      <c r="K448">
        <v>4</v>
      </c>
      <c r="L448">
        <v>8654.1299999999992</v>
      </c>
      <c r="M448">
        <v>34616.519999999997</v>
      </c>
      <c r="N448">
        <f t="shared" si="19"/>
        <v>34616.519999999997</v>
      </c>
      <c r="O448" t="str">
        <f t="shared" si="20"/>
        <v>Low</v>
      </c>
    </row>
    <row r="449" spans="1:15" x14ac:dyDescent="0.25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tr">
        <f t="shared" si="18"/>
        <v>Adult</v>
      </c>
      <c r="G449" t="s">
        <v>16</v>
      </c>
      <c r="H449" t="s">
        <v>102</v>
      </c>
      <c r="I449" t="s">
        <v>47</v>
      </c>
      <c r="J449" t="s">
        <v>37</v>
      </c>
      <c r="K449">
        <v>5</v>
      </c>
      <c r="L449">
        <v>26337.15</v>
      </c>
      <c r="M449">
        <v>131685.75</v>
      </c>
      <c r="N449">
        <f t="shared" si="19"/>
        <v>131685.75</v>
      </c>
      <c r="O449" t="str">
        <f t="shared" si="20"/>
        <v>Low</v>
      </c>
    </row>
    <row r="450" spans="1:15" x14ac:dyDescent="0.25">
      <c r="A450" t="s">
        <v>1466</v>
      </c>
      <c r="B450" t="s">
        <v>406</v>
      </c>
      <c r="C450" t="s">
        <v>1467</v>
      </c>
      <c r="D450" t="s">
        <v>317</v>
      </c>
      <c r="E450">
        <v>41</v>
      </c>
      <c r="F450" t="str">
        <f t="shared" si="18"/>
        <v>Middle Age</v>
      </c>
      <c r="G450" t="s">
        <v>16</v>
      </c>
      <c r="I450" t="s">
        <v>25</v>
      </c>
      <c r="J450" t="s">
        <v>26</v>
      </c>
      <c r="K450">
        <v>10</v>
      </c>
      <c r="L450">
        <v>43946.96</v>
      </c>
      <c r="M450">
        <v>439469.6</v>
      </c>
      <c r="N450">
        <f t="shared" si="19"/>
        <v>439469.6</v>
      </c>
      <c r="O450" t="str">
        <f t="shared" si="20"/>
        <v>High</v>
      </c>
    </row>
    <row r="451" spans="1:15" x14ac:dyDescent="0.25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tr">
        <f t="shared" ref="F451:F514" si="21">IF(E451&lt;=25,"Young Adult",IF(E451&lt;=40,"Adult",IF(E451&lt;=55,"Middle Age","Senior")))</f>
        <v>Adult</v>
      </c>
      <c r="G451" t="s">
        <v>24</v>
      </c>
      <c r="H451" t="s">
        <v>51</v>
      </c>
      <c r="I451" t="s">
        <v>76</v>
      </c>
      <c r="J451" t="s">
        <v>77</v>
      </c>
      <c r="K451">
        <v>8</v>
      </c>
      <c r="L451">
        <v>30576</v>
      </c>
      <c r="M451">
        <v>244608</v>
      </c>
      <c r="N451">
        <f t="shared" ref="N451:N514" si="22">K451*L451</f>
        <v>244608</v>
      </c>
      <c r="O451" t="str">
        <f t="shared" ref="O451:O514" si="23">IF(M451&lt;165000,"Low",IF(M451&lt;=330000,"Medium","High"))</f>
        <v>Medium</v>
      </c>
    </row>
    <row r="452" spans="1:15" x14ac:dyDescent="0.25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tr">
        <f t="shared" si="21"/>
        <v>Adult</v>
      </c>
      <c r="G452" t="s">
        <v>24</v>
      </c>
      <c r="H452" t="s">
        <v>102</v>
      </c>
      <c r="I452" t="s">
        <v>70</v>
      </c>
      <c r="J452" t="s">
        <v>71</v>
      </c>
      <c r="K452">
        <v>7</v>
      </c>
      <c r="L452">
        <v>32289.77</v>
      </c>
      <c r="M452">
        <v>226028.39</v>
      </c>
      <c r="N452">
        <f t="shared" si="22"/>
        <v>226028.39</v>
      </c>
      <c r="O452" t="str">
        <f t="shared" si="23"/>
        <v>Medium</v>
      </c>
    </row>
    <row r="453" spans="1:15" x14ac:dyDescent="0.25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tr">
        <f t="shared" si="21"/>
        <v>Adult</v>
      </c>
      <c r="G453" t="s">
        <v>16</v>
      </c>
      <c r="H453" t="s">
        <v>115</v>
      </c>
      <c r="I453" t="s">
        <v>70</v>
      </c>
      <c r="J453" t="s">
        <v>71</v>
      </c>
      <c r="K453">
        <v>2</v>
      </c>
      <c r="L453">
        <v>18153.87</v>
      </c>
      <c r="M453">
        <v>36307.74</v>
      </c>
      <c r="N453">
        <f t="shared" si="22"/>
        <v>36307.74</v>
      </c>
      <c r="O453" t="str">
        <f t="shared" si="23"/>
        <v>Low</v>
      </c>
    </row>
    <row r="454" spans="1:15" x14ac:dyDescent="0.25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tr">
        <f t="shared" si="21"/>
        <v>Senior</v>
      </c>
      <c r="G454" t="s">
        <v>16</v>
      </c>
      <c r="H454" t="s">
        <v>69</v>
      </c>
      <c r="I454" t="s">
        <v>47</v>
      </c>
      <c r="J454" t="s">
        <v>37</v>
      </c>
      <c r="K454">
        <v>1</v>
      </c>
      <c r="L454">
        <v>5815.69</v>
      </c>
      <c r="M454">
        <v>5815.69</v>
      </c>
      <c r="N454">
        <f t="shared" si="22"/>
        <v>5815.69</v>
      </c>
      <c r="O454" t="str">
        <f t="shared" si="23"/>
        <v>Low</v>
      </c>
    </row>
    <row r="455" spans="1:15" x14ac:dyDescent="0.25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tr">
        <f t="shared" si="21"/>
        <v>Young Adult</v>
      </c>
      <c r="G455" t="s">
        <v>16</v>
      </c>
      <c r="H455" t="s">
        <v>60</v>
      </c>
      <c r="I455" t="s">
        <v>76</v>
      </c>
      <c r="J455" t="s">
        <v>77</v>
      </c>
      <c r="K455">
        <v>1</v>
      </c>
      <c r="L455">
        <v>47927.360000000001</v>
      </c>
      <c r="M455">
        <v>47927.360000000001</v>
      </c>
      <c r="N455">
        <f t="shared" si="22"/>
        <v>47927.360000000001</v>
      </c>
      <c r="O455" t="str">
        <f t="shared" si="23"/>
        <v>Low</v>
      </c>
    </row>
    <row r="456" spans="1:15" x14ac:dyDescent="0.25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tr">
        <f t="shared" si="21"/>
        <v>Middle Age</v>
      </c>
      <c r="G456" t="s">
        <v>24</v>
      </c>
      <c r="H456" t="s">
        <v>115</v>
      </c>
      <c r="I456" t="s">
        <v>47</v>
      </c>
      <c r="J456" t="s">
        <v>37</v>
      </c>
      <c r="K456">
        <v>8</v>
      </c>
      <c r="L456">
        <v>30816.21</v>
      </c>
      <c r="M456">
        <v>246529.68</v>
      </c>
      <c r="N456">
        <f t="shared" si="22"/>
        <v>246529.68</v>
      </c>
      <c r="O456" t="str">
        <f t="shared" si="23"/>
        <v>Medium</v>
      </c>
    </row>
    <row r="457" spans="1:15" x14ac:dyDescent="0.25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tr">
        <f t="shared" si="21"/>
        <v>Middle Age</v>
      </c>
      <c r="G457" t="s">
        <v>16</v>
      </c>
      <c r="H457" t="s">
        <v>17</v>
      </c>
      <c r="I457" t="s">
        <v>76</v>
      </c>
      <c r="J457" t="s">
        <v>77</v>
      </c>
      <c r="K457">
        <v>2</v>
      </c>
      <c r="L457">
        <v>45809.09</v>
      </c>
      <c r="M457">
        <v>91618.18</v>
      </c>
      <c r="N457">
        <f t="shared" si="22"/>
        <v>91618.18</v>
      </c>
      <c r="O457" t="str">
        <f t="shared" si="23"/>
        <v>Low</v>
      </c>
    </row>
    <row r="458" spans="1:15" x14ac:dyDescent="0.25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tr">
        <f t="shared" si="21"/>
        <v>Young Adult</v>
      </c>
      <c r="G458" t="s">
        <v>24</v>
      </c>
      <c r="H458" t="s">
        <v>46</v>
      </c>
      <c r="I458" t="s">
        <v>76</v>
      </c>
      <c r="J458" t="s">
        <v>77</v>
      </c>
      <c r="K458">
        <v>10</v>
      </c>
      <c r="L458">
        <v>7127.33</v>
      </c>
      <c r="M458">
        <v>71273.3</v>
      </c>
      <c r="N458">
        <f t="shared" si="22"/>
        <v>71273.3</v>
      </c>
      <c r="O458" t="str">
        <f t="shared" si="23"/>
        <v>Low</v>
      </c>
    </row>
    <row r="459" spans="1:15" x14ac:dyDescent="0.25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tr">
        <f t="shared" si="21"/>
        <v>Adult</v>
      </c>
      <c r="G459" t="s">
        <v>16</v>
      </c>
      <c r="H459" t="s">
        <v>69</v>
      </c>
      <c r="I459" t="s">
        <v>25</v>
      </c>
      <c r="J459" t="s">
        <v>26</v>
      </c>
      <c r="K459">
        <v>9</v>
      </c>
      <c r="L459">
        <v>41434.83</v>
      </c>
      <c r="M459">
        <v>372913.47</v>
      </c>
      <c r="N459">
        <f t="shared" si="22"/>
        <v>372913.47000000003</v>
      </c>
      <c r="O459" t="str">
        <f t="shared" si="23"/>
        <v>High</v>
      </c>
    </row>
    <row r="460" spans="1:15" x14ac:dyDescent="0.25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tr">
        <f t="shared" si="21"/>
        <v>Middle Age</v>
      </c>
      <c r="G460" t="s">
        <v>16</v>
      </c>
      <c r="H460" t="s">
        <v>69</v>
      </c>
      <c r="I460" t="s">
        <v>25</v>
      </c>
      <c r="J460" t="s">
        <v>26</v>
      </c>
      <c r="K460">
        <v>4</v>
      </c>
      <c r="L460">
        <v>36242.410000000003</v>
      </c>
      <c r="M460">
        <v>144969.64000000001</v>
      </c>
      <c r="N460">
        <f t="shared" si="22"/>
        <v>144969.64000000001</v>
      </c>
      <c r="O460" t="str">
        <f t="shared" si="23"/>
        <v>Low</v>
      </c>
    </row>
    <row r="461" spans="1:15" x14ac:dyDescent="0.25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tr">
        <f t="shared" si="21"/>
        <v>Middle Age</v>
      </c>
      <c r="G461" t="s">
        <v>16</v>
      </c>
      <c r="H461" t="s">
        <v>115</v>
      </c>
      <c r="I461" t="s">
        <v>25</v>
      </c>
      <c r="J461" t="s">
        <v>26</v>
      </c>
      <c r="K461">
        <v>10</v>
      </c>
      <c r="L461">
        <v>13908.48</v>
      </c>
      <c r="M461">
        <v>139084.79999999999</v>
      </c>
      <c r="N461">
        <f t="shared" si="22"/>
        <v>139084.79999999999</v>
      </c>
      <c r="O461" t="str">
        <f t="shared" si="23"/>
        <v>Low</v>
      </c>
    </row>
    <row r="462" spans="1:15" x14ac:dyDescent="0.25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tr">
        <f t="shared" si="21"/>
        <v>Adult</v>
      </c>
      <c r="G462" t="s">
        <v>16</v>
      </c>
      <c r="H462" t="s">
        <v>35</v>
      </c>
      <c r="I462" t="s">
        <v>47</v>
      </c>
      <c r="J462" t="s">
        <v>37</v>
      </c>
      <c r="K462">
        <v>1</v>
      </c>
      <c r="L462">
        <v>9009.36</v>
      </c>
      <c r="M462">
        <v>9009.36</v>
      </c>
      <c r="N462">
        <f t="shared" si="22"/>
        <v>9009.36</v>
      </c>
      <c r="O462" t="str">
        <f t="shared" si="23"/>
        <v>Low</v>
      </c>
    </row>
    <row r="463" spans="1:15" x14ac:dyDescent="0.25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tr">
        <f t="shared" si="21"/>
        <v>Middle Age</v>
      </c>
      <c r="G463" t="s">
        <v>16</v>
      </c>
      <c r="H463" t="s">
        <v>69</v>
      </c>
      <c r="I463" t="s">
        <v>70</v>
      </c>
      <c r="J463" t="s">
        <v>71</v>
      </c>
      <c r="K463">
        <v>6</v>
      </c>
      <c r="L463">
        <v>36021.08</v>
      </c>
      <c r="M463">
        <v>216126.48</v>
      </c>
      <c r="N463">
        <f t="shared" si="22"/>
        <v>216126.48</v>
      </c>
      <c r="O463" t="str">
        <f t="shared" si="23"/>
        <v>Medium</v>
      </c>
    </row>
    <row r="464" spans="1:15" x14ac:dyDescent="0.25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tr">
        <f t="shared" si="21"/>
        <v>Middle Age</v>
      </c>
      <c r="G464" t="s">
        <v>16</v>
      </c>
      <c r="H464" t="s">
        <v>46</v>
      </c>
      <c r="I464" t="s">
        <v>25</v>
      </c>
      <c r="J464" t="s">
        <v>26</v>
      </c>
      <c r="K464">
        <v>10</v>
      </c>
      <c r="L464">
        <v>44045.66</v>
      </c>
      <c r="M464">
        <v>440456.6</v>
      </c>
      <c r="N464">
        <f t="shared" si="22"/>
        <v>440456.60000000003</v>
      </c>
      <c r="O464" t="str">
        <f t="shared" si="23"/>
        <v>High</v>
      </c>
    </row>
    <row r="465" spans="1:15" x14ac:dyDescent="0.25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tr">
        <f t="shared" si="21"/>
        <v>Senior</v>
      </c>
      <c r="G465" t="s">
        <v>16</v>
      </c>
      <c r="H465" t="s">
        <v>51</v>
      </c>
      <c r="I465" t="s">
        <v>25</v>
      </c>
      <c r="J465" t="s">
        <v>26</v>
      </c>
      <c r="K465">
        <v>3</v>
      </c>
      <c r="L465">
        <v>41596.85</v>
      </c>
      <c r="M465">
        <v>124790.55</v>
      </c>
      <c r="N465">
        <f t="shared" si="22"/>
        <v>124790.54999999999</v>
      </c>
      <c r="O465" t="str">
        <f t="shared" si="23"/>
        <v>Low</v>
      </c>
    </row>
    <row r="466" spans="1:15" x14ac:dyDescent="0.25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tr">
        <f t="shared" si="21"/>
        <v>Adult</v>
      </c>
      <c r="G466" t="s">
        <v>24</v>
      </c>
      <c r="H466" t="s">
        <v>35</v>
      </c>
      <c r="I466" t="s">
        <v>25</v>
      </c>
      <c r="J466" t="s">
        <v>26</v>
      </c>
      <c r="K466">
        <v>9</v>
      </c>
      <c r="L466">
        <v>21020.37</v>
      </c>
      <c r="M466">
        <v>189183.33</v>
      </c>
      <c r="N466">
        <f t="shared" si="22"/>
        <v>189183.33</v>
      </c>
      <c r="O466" t="str">
        <f t="shared" si="23"/>
        <v>Medium</v>
      </c>
    </row>
    <row r="467" spans="1:15" x14ac:dyDescent="0.25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tr">
        <f t="shared" si="21"/>
        <v>Middle Age</v>
      </c>
      <c r="G467" t="s">
        <v>16</v>
      </c>
      <c r="H467" t="s">
        <v>35</v>
      </c>
      <c r="I467" t="s">
        <v>25</v>
      </c>
      <c r="J467" t="s">
        <v>26</v>
      </c>
      <c r="K467">
        <v>6</v>
      </c>
      <c r="L467">
        <v>28483.33</v>
      </c>
      <c r="M467">
        <v>170899.98</v>
      </c>
      <c r="N467">
        <f t="shared" si="22"/>
        <v>170899.98</v>
      </c>
      <c r="O467" t="str">
        <f t="shared" si="23"/>
        <v>Medium</v>
      </c>
    </row>
    <row r="468" spans="1:15" x14ac:dyDescent="0.25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tr">
        <f t="shared" si="21"/>
        <v>Young Adult</v>
      </c>
      <c r="G468" t="s">
        <v>16</v>
      </c>
      <c r="H468" t="s">
        <v>51</v>
      </c>
      <c r="I468" t="s">
        <v>25</v>
      </c>
      <c r="J468" t="s">
        <v>26</v>
      </c>
      <c r="K468">
        <v>8</v>
      </c>
      <c r="L468">
        <v>22060.38</v>
      </c>
      <c r="M468">
        <v>176483.04</v>
      </c>
      <c r="N468">
        <f t="shared" si="22"/>
        <v>176483.04</v>
      </c>
      <c r="O468" t="str">
        <f t="shared" si="23"/>
        <v>Medium</v>
      </c>
    </row>
    <row r="469" spans="1:15" x14ac:dyDescent="0.25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tr">
        <f t="shared" si="21"/>
        <v>Adult</v>
      </c>
      <c r="G469" t="s">
        <v>24</v>
      </c>
      <c r="H469" t="s">
        <v>69</v>
      </c>
      <c r="I469" t="s">
        <v>36</v>
      </c>
      <c r="J469" t="s">
        <v>37</v>
      </c>
      <c r="K469">
        <v>9</v>
      </c>
      <c r="L469">
        <v>17074.46</v>
      </c>
      <c r="M469">
        <v>153670.14000000001</v>
      </c>
      <c r="N469">
        <f t="shared" si="22"/>
        <v>153670.13999999998</v>
      </c>
      <c r="O469" t="str">
        <f t="shared" si="23"/>
        <v>Low</v>
      </c>
    </row>
    <row r="470" spans="1:15" x14ac:dyDescent="0.25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tr">
        <f t="shared" si="21"/>
        <v>Middle Age</v>
      </c>
      <c r="G470" t="s">
        <v>24</v>
      </c>
      <c r="H470" t="s">
        <v>102</v>
      </c>
      <c r="I470" t="s">
        <v>70</v>
      </c>
      <c r="J470" t="s">
        <v>71</v>
      </c>
      <c r="K470">
        <v>6</v>
      </c>
      <c r="L470">
        <v>7136.1</v>
      </c>
      <c r="M470">
        <v>42816.6</v>
      </c>
      <c r="N470">
        <f t="shared" si="22"/>
        <v>42816.600000000006</v>
      </c>
      <c r="O470" t="str">
        <f t="shared" si="23"/>
        <v>Low</v>
      </c>
    </row>
    <row r="471" spans="1:15" x14ac:dyDescent="0.25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tr">
        <f t="shared" si="21"/>
        <v>Senior</v>
      </c>
      <c r="G471" t="s">
        <v>24</v>
      </c>
      <c r="H471" t="s">
        <v>69</v>
      </c>
      <c r="I471" t="s">
        <v>18</v>
      </c>
      <c r="J471" t="s">
        <v>19</v>
      </c>
      <c r="K471">
        <v>4</v>
      </c>
      <c r="L471">
        <v>33964.14</v>
      </c>
      <c r="M471">
        <v>135856.56</v>
      </c>
      <c r="N471">
        <f t="shared" si="22"/>
        <v>135856.56</v>
      </c>
      <c r="O471" t="str">
        <f t="shared" si="23"/>
        <v>Low</v>
      </c>
    </row>
    <row r="472" spans="1:15" x14ac:dyDescent="0.25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tr">
        <f t="shared" si="21"/>
        <v>Senior</v>
      </c>
      <c r="G472" t="s">
        <v>16</v>
      </c>
      <c r="H472" t="s">
        <v>17</v>
      </c>
      <c r="I472" t="s">
        <v>76</v>
      </c>
      <c r="J472" t="s">
        <v>77</v>
      </c>
      <c r="K472">
        <v>7</v>
      </c>
      <c r="L472">
        <v>46331.16</v>
      </c>
      <c r="M472">
        <v>324318.12</v>
      </c>
      <c r="N472">
        <f t="shared" si="22"/>
        <v>324318.12</v>
      </c>
      <c r="O472" t="str">
        <f t="shared" si="23"/>
        <v>Medium</v>
      </c>
    </row>
    <row r="473" spans="1:15" x14ac:dyDescent="0.25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tr">
        <f t="shared" si="21"/>
        <v>Young Adult</v>
      </c>
      <c r="G473" t="s">
        <v>24</v>
      </c>
      <c r="H473" t="s">
        <v>60</v>
      </c>
      <c r="I473" t="s">
        <v>18</v>
      </c>
      <c r="J473" t="s">
        <v>19</v>
      </c>
      <c r="K473">
        <v>10</v>
      </c>
      <c r="L473">
        <v>27530.02</v>
      </c>
      <c r="M473">
        <v>275300.2</v>
      </c>
      <c r="N473">
        <f t="shared" si="22"/>
        <v>275300.2</v>
      </c>
      <c r="O473" t="str">
        <f t="shared" si="23"/>
        <v>Medium</v>
      </c>
    </row>
    <row r="474" spans="1:15" x14ac:dyDescent="0.25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tr">
        <f t="shared" si="21"/>
        <v>Senior</v>
      </c>
      <c r="G474" t="s">
        <v>16</v>
      </c>
      <c r="H474" t="s">
        <v>60</v>
      </c>
      <c r="I474" t="s">
        <v>47</v>
      </c>
      <c r="J474" t="s">
        <v>37</v>
      </c>
      <c r="K474">
        <v>2</v>
      </c>
      <c r="L474">
        <v>24291.74</v>
      </c>
      <c r="M474">
        <v>48583.48</v>
      </c>
      <c r="N474">
        <f t="shared" si="22"/>
        <v>48583.48</v>
      </c>
      <c r="O474" t="str">
        <f t="shared" si="23"/>
        <v>Low</v>
      </c>
    </row>
    <row r="475" spans="1:15" x14ac:dyDescent="0.25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tr">
        <f t="shared" si="21"/>
        <v>Senior</v>
      </c>
      <c r="G475" t="s">
        <v>24</v>
      </c>
      <c r="H475" t="s">
        <v>115</v>
      </c>
      <c r="I475" t="s">
        <v>47</v>
      </c>
      <c r="J475" t="s">
        <v>37</v>
      </c>
      <c r="K475">
        <v>5</v>
      </c>
      <c r="L475">
        <v>13257.79</v>
      </c>
      <c r="M475">
        <v>66288.95</v>
      </c>
      <c r="N475">
        <f t="shared" si="22"/>
        <v>66288.950000000012</v>
      </c>
      <c r="O475" t="str">
        <f t="shared" si="23"/>
        <v>Low</v>
      </c>
    </row>
    <row r="476" spans="1:15" x14ac:dyDescent="0.25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tr">
        <f t="shared" si="21"/>
        <v>Middle Age</v>
      </c>
      <c r="G476" t="s">
        <v>24</v>
      </c>
      <c r="H476" t="s">
        <v>102</v>
      </c>
      <c r="I476" t="s">
        <v>70</v>
      </c>
      <c r="J476" t="s">
        <v>71</v>
      </c>
      <c r="K476">
        <v>10</v>
      </c>
      <c r="L476">
        <v>16360.67</v>
      </c>
      <c r="M476">
        <v>163606.70000000001</v>
      </c>
      <c r="N476">
        <f t="shared" si="22"/>
        <v>163606.70000000001</v>
      </c>
      <c r="O476" t="str">
        <f t="shared" si="23"/>
        <v>Low</v>
      </c>
    </row>
    <row r="477" spans="1:15" x14ac:dyDescent="0.25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tr">
        <f t="shared" si="21"/>
        <v>Young Adult</v>
      </c>
      <c r="G477" t="s">
        <v>16</v>
      </c>
      <c r="H477" t="s">
        <v>51</v>
      </c>
      <c r="I477" t="s">
        <v>47</v>
      </c>
      <c r="J477" t="s">
        <v>37</v>
      </c>
      <c r="K477">
        <v>6</v>
      </c>
      <c r="L477">
        <v>40480.730000000003</v>
      </c>
      <c r="M477">
        <v>242884.38</v>
      </c>
      <c r="N477">
        <f t="shared" si="22"/>
        <v>242884.38</v>
      </c>
      <c r="O477" t="str">
        <f t="shared" si="23"/>
        <v>Medium</v>
      </c>
    </row>
    <row r="478" spans="1:15" x14ac:dyDescent="0.25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tr">
        <f t="shared" si="21"/>
        <v>Middle Age</v>
      </c>
      <c r="G478" t="s">
        <v>24</v>
      </c>
      <c r="H478" t="s">
        <v>60</v>
      </c>
      <c r="I478" t="s">
        <v>76</v>
      </c>
      <c r="J478" t="s">
        <v>77</v>
      </c>
      <c r="K478">
        <v>2</v>
      </c>
      <c r="L478">
        <v>747.57</v>
      </c>
      <c r="M478">
        <v>1495.14</v>
      </c>
      <c r="N478">
        <f t="shared" si="22"/>
        <v>1495.14</v>
      </c>
      <c r="O478" t="str">
        <f t="shared" si="23"/>
        <v>Low</v>
      </c>
    </row>
    <row r="479" spans="1:15" x14ac:dyDescent="0.25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tr">
        <f t="shared" si="21"/>
        <v>Adult</v>
      </c>
      <c r="G479" t="s">
        <v>24</v>
      </c>
      <c r="H479" t="s">
        <v>46</v>
      </c>
      <c r="I479" t="s">
        <v>47</v>
      </c>
      <c r="J479" t="s">
        <v>37</v>
      </c>
      <c r="K479">
        <v>2</v>
      </c>
      <c r="L479">
        <v>35420.46</v>
      </c>
      <c r="M479">
        <v>70840.92</v>
      </c>
      <c r="N479">
        <f t="shared" si="22"/>
        <v>70840.92</v>
      </c>
      <c r="O479" t="str">
        <f t="shared" si="23"/>
        <v>Low</v>
      </c>
    </row>
    <row r="480" spans="1:15" x14ac:dyDescent="0.25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tr">
        <f t="shared" si="21"/>
        <v>Senior</v>
      </c>
      <c r="G480" t="s">
        <v>24</v>
      </c>
      <c r="H480" t="s">
        <v>17</v>
      </c>
      <c r="I480" t="s">
        <v>18</v>
      </c>
      <c r="J480" t="s">
        <v>19</v>
      </c>
      <c r="K480">
        <v>8</v>
      </c>
      <c r="L480">
        <v>38957.589999999997</v>
      </c>
      <c r="M480">
        <v>311660.71999999997</v>
      </c>
      <c r="N480">
        <f t="shared" si="22"/>
        <v>311660.71999999997</v>
      </c>
      <c r="O480" t="str">
        <f t="shared" si="23"/>
        <v>Medium</v>
      </c>
    </row>
    <row r="481" spans="1:15" x14ac:dyDescent="0.25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tr">
        <f t="shared" si="21"/>
        <v>Middle Age</v>
      </c>
      <c r="G481" t="s">
        <v>16</v>
      </c>
      <c r="H481" t="s">
        <v>17</v>
      </c>
      <c r="I481" t="s">
        <v>76</v>
      </c>
      <c r="J481" t="s">
        <v>77</v>
      </c>
      <c r="K481">
        <v>3</v>
      </c>
      <c r="L481">
        <v>2762.18</v>
      </c>
      <c r="M481">
        <v>8286.5400000000009</v>
      </c>
      <c r="N481">
        <f t="shared" si="22"/>
        <v>8286.5399999999991</v>
      </c>
      <c r="O481" t="str">
        <f t="shared" si="23"/>
        <v>Low</v>
      </c>
    </row>
    <row r="482" spans="1:15" x14ac:dyDescent="0.25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tr">
        <f t="shared" si="21"/>
        <v>Senior</v>
      </c>
      <c r="G482" t="s">
        <v>24</v>
      </c>
      <c r="H482" t="s">
        <v>35</v>
      </c>
      <c r="I482" t="s">
        <v>47</v>
      </c>
      <c r="J482" t="s">
        <v>37</v>
      </c>
      <c r="K482">
        <v>2</v>
      </c>
      <c r="L482">
        <v>33800.83</v>
      </c>
      <c r="M482">
        <v>67601.66</v>
      </c>
      <c r="N482">
        <f t="shared" si="22"/>
        <v>67601.66</v>
      </c>
      <c r="O482" t="str">
        <f t="shared" si="23"/>
        <v>Low</v>
      </c>
    </row>
    <row r="483" spans="1:15" x14ac:dyDescent="0.25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tr">
        <f t="shared" si="21"/>
        <v>Middle Age</v>
      </c>
      <c r="G483" t="s">
        <v>24</v>
      </c>
      <c r="H483" t="s">
        <v>35</v>
      </c>
      <c r="I483" t="s">
        <v>47</v>
      </c>
      <c r="J483" t="s">
        <v>37</v>
      </c>
      <c r="K483">
        <v>4</v>
      </c>
      <c r="L483">
        <v>4113.3999999999996</v>
      </c>
      <c r="M483">
        <v>16453.599999999999</v>
      </c>
      <c r="N483">
        <f t="shared" si="22"/>
        <v>16453.599999999999</v>
      </c>
      <c r="O483" t="str">
        <f t="shared" si="23"/>
        <v>Low</v>
      </c>
    </row>
    <row r="484" spans="1:15" x14ac:dyDescent="0.25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tr">
        <f t="shared" si="21"/>
        <v>Adult</v>
      </c>
      <c r="G484" t="s">
        <v>24</v>
      </c>
      <c r="H484" t="s">
        <v>46</v>
      </c>
      <c r="I484" t="s">
        <v>76</v>
      </c>
      <c r="J484" t="s">
        <v>77</v>
      </c>
      <c r="K484">
        <v>10</v>
      </c>
      <c r="L484">
        <v>24297.48</v>
      </c>
      <c r="M484">
        <v>242974.8</v>
      </c>
      <c r="N484">
        <f t="shared" si="22"/>
        <v>242974.8</v>
      </c>
      <c r="O484" t="str">
        <f t="shared" si="23"/>
        <v>Medium</v>
      </c>
    </row>
    <row r="485" spans="1:15" x14ac:dyDescent="0.25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tr">
        <f t="shared" si="21"/>
        <v>Adult</v>
      </c>
      <c r="G485" t="s">
        <v>24</v>
      </c>
      <c r="H485" t="s">
        <v>102</v>
      </c>
      <c r="I485" t="s">
        <v>25</v>
      </c>
      <c r="J485" t="s">
        <v>26</v>
      </c>
      <c r="K485">
        <v>9</v>
      </c>
      <c r="L485">
        <v>5037.6000000000004</v>
      </c>
      <c r="M485">
        <v>45338.400000000001</v>
      </c>
      <c r="N485">
        <f t="shared" si="22"/>
        <v>45338.400000000001</v>
      </c>
      <c r="O485" t="str">
        <f t="shared" si="23"/>
        <v>Low</v>
      </c>
    </row>
    <row r="486" spans="1:15" x14ac:dyDescent="0.25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tr">
        <f t="shared" si="21"/>
        <v>Adult</v>
      </c>
      <c r="G486" t="s">
        <v>16</v>
      </c>
      <c r="H486" t="s">
        <v>51</v>
      </c>
      <c r="I486" t="s">
        <v>36</v>
      </c>
      <c r="J486" t="s">
        <v>37</v>
      </c>
      <c r="K486">
        <v>8</v>
      </c>
      <c r="L486">
        <v>34803.410000000003</v>
      </c>
      <c r="M486">
        <v>278427.28000000003</v>
      </c>
      <c r="N486">
        <f t="shared" si="22"/>
        <v>278427.28000000003</v>
      </c>
      <c r="O486" t="str">
        <f t="shared" si="23"/>
        <v>Medium</v>
      </c>
    </row>
    <row r="487" spans="1:15" x14ac:dyDescent="0.25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tr">
        <f t="shared" si="21"/>
        <v>Adult</v>
      </c>
      <c r="G487" t="s">
        <v>24</v>
      </c>
      <c r="H487" t="s">
        <v>51</v>
      </c>
      <c r="I487" t="s">
        <v>70</v>
      </c>
      <c r="J487" t="s">
        <v>71</v>
      </c>
      <c r="K487">
        <v>9</v>
      </c>
      <c r="L487">
        <v>9123.43</v>
      </c>
      <c r="M487">
        <v>82110.87</v>
      </c>
      <c r="N487">
        <f t="shared" si="22"/>
        <v>82110.87</v>
      </c>
      <c r="O487" t="str">
        <f t="shared" si="23"/>
        <v>Low</v>
      </c>
    </row>
    <row r="488" spans="1:15" x14ac:dyDescent="0.25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tr">
        <f t="shared" si="21"/>
        <v>Middle Age</v>
      </c>
      <c r="G488" t="s">
        <v>16</v>
      </c>
      <c r="H488" t="s">
        <v>102</v>
      </c>
      <c r="I488" t="s">
        <v>76</v>
      </c>
      <c r="J488" t="s">
        <v>77</v>
      </c>
      <c r="K488">
        <v>6</v>
      </c>
      <c r="L488">
        <v>6567.81</v>
      </c>
      <c r="M488">
        <v>39406.86</v>
      </c>
      <c r="N488">
        <f t="shared" si="22"/>
        <v>39406.86</v>
      </c>
      <c r="O488" t="str">
        <f t="shared" si="23"/>
        <v>Low</v>
      </c>
    </row>
    <row r="489" spans="1:15" x14ac:dyDescent="0.25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tr">
        <f t="shared" si="21"/>
        <v>Middle Age</v>
      </c>
      <c r="G489" t="s">
        <v>16</v>
      </c>
      <c r="H489" t="s">
        <v>35</v>
      </c>
      <c r="I489" t="s">
        <v>36</v>
      </c>
      <c r="J489" t="s">
        <v>37</v>
      </c>
      <c r="K489">
        <v>9</v>
      </c>
      <c r="L489">
        <v>27766.560000000001</v>
      </c>
      <c r="M489">
        <v>249899.04</v>
      </c>
      <c r="N489">
        <f t="shared" si="22"/>
        <v>249899.04</v>
      </c>
      <c r="O489" t="str">
        <f t="shared" si="23"/>
        <v>Medium</v>
      </c>
    </row>
    <row r="490" spans="1:15" x14ac:dyDescent="0.25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tr">
        <f t="shared" si="21"/>
        <v>Middle Age</v>
      </c>
      <c r="G490" t="s">
        <v>16</v>
      </c>
      <c r="H490" t="s">
        <v>46</v>
      </c>
      <c r="I490" t="s">
        <v>18</v>
      </c>
      <c r="J490" t="s">
        <v>19</v>
      </c>
      <c r="K490">
        <v>5</v>
      </c>
      <c r="L490">
        <v>33535.53</v>
      </c>
      <c r="M490">
        <v>167677.65</v>
      </c>
      <c r="N490">
        <f t="shared" si="22"/>
        <v>167677.65</v>
      </c>
      <c r="O490" t="str">
        <f t="shared" si="23"/>
        <v>Medium</v>
      </c>
    </row>
    <row r="491" spans="1:15" x14ac:dyDescent="0.25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tr">
        <f t="shared" si="21"/>
        <v>Adult</v>
      </c>
      <c r="G491" t="s">
        <v>24</v>
      </c>
      <c r="H491" t="s">
        <v>46</v>
      </c>
      <c r="I491" t="s">
        <v>70</v>
      </c>
      <c r="J491" t="s">
        <v>71</v>
      </c>
      <c r="K491">
        <v>9</v>
      </c>
      <c r="L491">
        <v>48011.48</v>
      </c>
      <c r="M491">
        <v>432103.32</v>
      </c>
      <c r="N491">
        <f t="shared" si="22"/>
        <v>432103.32</v>
      </c>
      <c r="O491" t="str">
        <f t="shared" si="23"/>
        <v>High</v>
      </c>
    </row>
    <row r="492" spans="1:15" x14ac:dyDescent="0.25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tr">
        <f t="shared" si="21"/>
        <v>Middle Age</v>
      </c>
      <c r="G492" t="s">
        <v>24</v>
      </c>
      <c r="H492" t="s">
        <v>69</v>
      </c>
      <c r="I492" t="s">
        <v>25</v>
      </c>
      <c r="J492" t="s">
        <v>26</v>
      </c>
      <c r="K492">
        <v>9</v>
      </c>
      <c r="L492">
        <v>21084.400000000001</v>
      </c>
      <c r="M492">
        <v>189759.6</v>
      </c>
      <c r="N492">
        <f t="shared" si="22"/>
        <v>189759.6</v>
      </c>
      <c r="O492" t="str">
        <f t="shared" si="23"/>
        <v>Medium</v>
      </c>
    </row>
    <row r="493" spans="1:15" x14ac:dyDescent="0.25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tr">
        <f t="shared" si="21"/>
        <v>Senior</v>
      </c>
      <c r="G493" t="s">
        <v>24</v>
      </c>
      <c r="H493" t="s">
        <v>102</v>
      </c>
      <c r="I493" t="s">
        <v>25</v>
      </c>
      <c r="J493" t="s">
        <v>26</v>
      </c>
      <c r="K493">
        <v>3</v>
      </c>
      <c r="L493">
        <v>37002.06</v>
      </c>
      <c r="M493">
        <v>111006.18</v>
      </c>
      <c r="N493">
        <f t="shared" si="22"/>
        <v>111006.18</v>
      </c>
      <c r="O493" t="str">
        <f t="shared" si="23"/>
        <v>Low</v>
      </c>
    </row>
    <row r="494" spans="1:15" x14ac:dyDescent="0.25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tr">
        <f t="shared" si="21"/>
        <v>Middle Age</v>
      </c>
      <c r="G494" t="s">
        <v>24</v>
      </c>
      <c r="H494" t="s">
        <v>69</v>
      </c>
      <c r="I494" t="s">
        <v>47</v>
      </c>
      <c r="J494" t="s">
        <v>37</v>
      </c>
      <c r="K494">
        <v>3</v>
      </c>
      <c r="L494">
        <v>33382.46</v>
      </c>
      <c r="M494">
        <v>100147.38</v>
      </c>
      <c r="N494">
        <f t="shared" si="22"/>
        <v>100147.38</v>
      </c>
      <c r="O494" t="str">
        <f t="shared" si="23"/>
        <v>Low</v>
      </c>
    </row>
    <row r="495" spans="1:15" x14ac:dyDescent="0.25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tr">
        <f t="shared" si="21"/>
        <v>Adult</v>
      </c>
      <c r="G495" t="s">
        <v>16</v>
      </c>
      <c r="H495" t="s">
        <v>102</v>
      </c>
      <c r="I495" t="s">
        <v>70</v>
      </c>
      <c r="J495" t="s">
        <v>71</v>
      </c>
      <c r="K495">
        <v>5</v>
      </c>
      <c r="L495">
        <v>16321.45</v>
      </c>
      <c r="M495">
        <v>81607.25</v>
      </c>
      <c r="N495">
        <f t="shared" si="22"/>
        <v>81607.25</v>
      </c>
      <c r="O495" t="str">
        <f t="shared" si="23"/>
        <v>Low</v>
      </c>
    </row>
    <row r="496" spans="1:15" x14ac:dyDescent="0.25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tr">
        <f t="shared" si="21"/>
        <v>Middle Age</v>
      </c>
      <c r="G496" t="s">
        <v>24</v>
      </c>
      <c r="H496" t="s">
        <v>102</v>
      </c>
      <c r="I496" t="s">
        <v>76</v>
      </c>
      <c r="J496" t="s">
        <v>77</v>
      </c>
      <c r="K496">
        <v>1</v>
      </c>
      <c r="L496">
        <v>767.61</v>
      </c>
      <c r="M496">
        <v>767.61</v>
      </c>
      <c r="N496">
        <f t="shared" si="22"/>
        <v>767.61</v>
      </c>
      <c r="O496" t="str">
        <f t="shared" si="23"/>
        <v>Low</v>
      </c>
    </row>
    <row r="497" spans="1:15" x14ac:dyDescent="0.25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tr">
        <f t="shared" si="21"/>
        <v>Middle Age</v>
      </c>
      <c r="G497" t="s">
        <v>24</v>
      </c>
      <c r="H497" t="s">
        <v>35</v>
      </c>
      <c r="I497" t="s">
        <v>18</v>
      </c>
      <c r="J497" t="s">
        <v>19</v>
      </c>
      <c r="K497">
        <v>8</v>
      </c>
      <c r="L497">
        <v>18862.36</v>
      </c>
      <c r="M497">
        <v>150898.88</v>
      </c>
      <c r="N497">
        <f t="shared" si="22"/>
        <v>150898.88</v>
      </c>
      <c r="O497" t="str">
        <f t="shared" si="23"/>
        <v>Low</v>
      </c>
    </row>
    <row r="498" spans="1:15" x14ac:dyDescent="0.25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tr">
        <f t="shared" si="21"/>
        <v>Middle Age</v>
      </c>
      <c r="G498" t="s">
        <v>16</v>
      </c>
      <c r="H498" t="s">
        <v>51</v>
      </c>
      <c r="I498" t="s">
        <v>76</v>
      </c>
      <c r="J498" t="s">
        <v>77</v>
      </c>
      <c r="K498">
        <v>2</v>
      </c>
      <c r="L498">
        <v>47693.33</v>
      </c>
      <c r="M498">
        <v>95386.66</v>
      </c>
      <c r="N498">
        <f t="shared" si="22"/>
        <v>95386.66</v>
      </c>
      <c r="O498" t="str">
        <f t="shared" si="23"/>
        <v>Low</v>
      </c>
    </row>
    <row r="499" spans="1:15" x14ac:dyDescent="0.25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tr">
        <f t="shared" si="21"/>
        <v>Middle Age</v>
      </c>
      <c r="G499" t="s">
        <v>16</v>
      </c>
      <c r="H499" t="s">
        <v>69</v>
      </c>
      <c r="I499" t="s">
        <v>36</v>
      </c>
      <c r="J499" t="s">
        <v>37</v>
      </c>
      <c r="K499">
        <v>3</v>
      </c>
      <c r="L499">
        <v>33234.99</v>
      </c>
      <c r="M499">
        <v>99704.97</v>
      </c>
      <c r="N499">
        <f t="shared" si="22"/>
        <v>99704.97</v>
      </c>
      <c r="O499" t="str">
        <f t="shared" si="23"/>
        <v>Low</v>
      </c>
    </row>
    <row r="500" spans="1:15" x14ac:dyDescent="0.25">
      <c r="A500" t="s">
        <v>1595</v>
      </c>
      <c r="B500" t="s">
        <v>589</v>
      </c>
      <c r="C500" t="s">
        <v>1596</v>
      </c>
      <c r="D500" t="s">
        <v>642</v>
      </c>
      <c r="E500">
        <v>41</v>
      </c>
      <c r="F500" t="str">
        <f t="shared" si="21"/>
        <v>Middle Age</v>
      </c>
      <c r="G500" t="s">
        <v>24</v>
      </c>
      <c r="H500" t="s">
        <v>35</v>
      </c>
      <c r="I500" t="s">
        <v>76</v>
      </c>
      <c r="J500" t="s">
        <v>77</v>
      </c>
      <c r="K500">
        <v>9</v>
      </c>
      <c r="L500">
        <v>7268.14</v>
      </c>
      <c r="M500">
        <v>65413.26</v>
      </c>
      <c r="N500">
        <f t="shared" si="22"/>
        <v>65413.26</v>
      </c>
      <c r="O500" t="str">
        <f t="shared" si="23"/>
        <v>Low</v>
      </c>
    </row>
    <row r="501" spans="1:15" x14ac:dyDescent="0.25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tr">
        <f t="shared" si="21"/>
        <v>Adult</v>
      </c>
      <c r="G501" t="s">
        <v>16</v>
      </c>
      <c r="H501" t="s">
        <v>60</v>
      </c>
      <c r="I501" t="s">
        <v>36</v>
      </c>
      <c r="J501" t="s">
        <v>37</v>
      </c>
      <c r="K501">
        <v>10</v>
      </c>
      <c r="L501">
        <v>10702.89</v>
      </c>
      <c r="M501">
        <v>107028.9</v>
      </c>
      <c r="N501">
        <f t="shared" si="22"/>
        <v>107028.9</v>
      </c>
      <c r="O501" t="str">
        <f t="shared" si="23"/>
        <v>Low</v>
      </c>
    </row>
    <row r="502" spans="1:15" x14ac:dyDescent="0.25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tr">
        <f t="shared" si="21"/>
        <v>Middle Age</v>
      </c>
      <c r="G502" t="s">
        <v>16</v>
      </c>
      <c r="H502" t="s">
        <v>69</v>
      </c>
      <c r="I502" t="s">
        <v>25</v>
      </c>
      <c r="J502" t="s">
        <v>26</v>
      </c>
      <c r="K502">
        <v>2</v>
      </c>
      <c r="L502">
        <v>13323.8</v>
      </c>
      <c r="M502">
        <v>26647.599999999999</v>
      </c>
      <c r="N502">
        <f t="shared" si="22"/>
        <v>26647.599999999999</v>
      </c>
      <c r="O502" t="str">
        <f t="shared" si="23"/>
        <v>Low</v>
      </c>
    </row>
    <row r="503" spans="1:15" x14ac:dyDescent="0.25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tr">
        <f t="shared" si="21"/>
        <v>Adult</v>
      </c>
      <c r="G503" t="s">
        <v>16</v>
      </c>
      <c r="H503" t="s">
        <v>46</v>
      </c>
      <c r="I503" t="s">
        <v>47</v>
      </c>
      <c r="J503" t="s">
        <v>37</v>
      </c>
      <c r="K503">
        <v>4</v>
      </c>
      <c r="L503">
        <v>27565.01</v>
      </c>
      <c r="M503">
        <v>110260.04</v>
      </c>
      <c r="N503">
        <f t="shared" si="22"/>
        <v>110260.04</v>
      </c>
      <c r="O503" t="str">
        <f t="shared" si="23"/>
        <v>Low</v>
      </c>
    </row>
    <row r="504" spans="1:15" x14ac:dyDescent="0.25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tr">
        <f t="shared" si="21"/>
        <v>Middle Age</v>
      </c>
      <c r="G504" t="s">
        <v>24</v>
      </c>
      <c r="H504" t="s">
        <v>115</v>
      </c>
      <c r="I504" t="s">
        <v>36</v>
      </c>
      <c r="J504" t="s">
        <v>37</v>
      </c>
      <c r="K504">
        <v>1</v>
      </c>
      <c r="L504">
        <v>40225.629999999997</v>
      </c>
      <c r="M504">
        <v>40225.629999999997</v>
      </c>
      <c r="N504">
        <f t="shared" si="22"/>
        <v>40225.629999999997</v>
      </c>
      <c r="O504" t="str">
        <f t="shared" si="23"/>
        <v>Low</v>
      </c>
    </row>
    <row r="505" spans="1:15" x14ac:dyDescent="0.25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tr">
        <f t="shared" si="21"/>
        <v>Senior</v>
      </c>
      <c r="G505" t="s">
        <v>16</v>
      </c>
      <c r="H505" t="s">
        <v>46</v>
      </c>
      <c r="I505" t="s">
        <v>76</v>
      </c>
      <c r="J505" t="s">
        <v>77</v>
      </c>
      <c r="K505">
        <v>1</v>
      </c>
      <c r="L505">
        <v>12494.97</v>
      </c>
      <c r="M505">
        <v>12494.97</v>
      </c>
      <c r="N505">
        <f t="shared" si="22"/>
        <v>12494.97</v>
      </c>
      <c r="O505" t="str">
        <f t="shared" si="23"/>
        <v>Low</v>
      </c>
    </row>
    <row r="506" spans="1:15" x14ac:dyDescent="0.25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tr">
        <f t="shared" si="21"/>
        <v>Adult</v>
      </c>
      <c r="G506" t="s">
        <v>24</v>
      </c>
      <c r="H506" t="s">
        <v>102</v>
      </c>
      <c r="I506" t="s">
        <v>18</v>
      </c>
      <c r="J506" t="s">
        <v>19</v>
      </c>
      <c r="K506">
        <v>3</v>
      </c>
      <c r="L506">
        <v>40440.720000000001</v>
      </c>
      <c r="M506">
        <v>121322.16</v>
      </c>
      <c r="N506">
        <f t="shared" si="22"/>
        <v>121322.16</v>
      </c>
      <c r="O506" t="str">
        <f t="shared" si="23"/>
        <v>Low</v>
      </c>
    </row>
    <row r="507" spans="1:15" x14ac:dyDescent="0.25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tr">
        <f t="shared" si="21"/>
        <v>Middle Age</v>
      </c>
      <c r="G507" t="s">
        <v>24</v>
      </c>
      <c r="H507" t="s">
        <v>35</v>
      </c>
      <c r="I507" t="s">
        <v>47</v>
      </c>
      <c r="J507" t="s">
        <v>37</v>
      </c>
      <c r="K507">
        <v>10</v>
      </c>
      <c r="L507">
        <v>25386.400000000001</v>
      </c>
      <c r="M507">
        <v>253864</v>
      </c>
      <c r="N507">
        <f t="shared" si="22"/>
        <v>253864</v>
      </c>
      <c r="O507" t="str">
        <f t="shared" si="23"/>
        <v>Medium</v>
      </c>
    </row>
    <row r="508" spans="1:15" x14ac:dyDescent="0.25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tr">
        <f t="shared" si="21"/>
        <v>Middle Age</v>
      </c>
      <c r="G508" t="s">
        <v>16</v>
      </c>
      <c r="H508" t="s">
        <v>60</v>
      </c>
      <c r="I508" t="s">
        <v>47</v>
      </c>
      <c r="J508" t="s">
        <v>37</v>
      </c>
      <c r="K508">
        <v>3</v>
      </c>
      <c r="L508">
        <v>7991.06</v>
      </c>
      <c r="M508">
        <v>23973.18</v>
      </c>
      <c r="N508">
        <f t="shared" si="22"/>
        <v>23973.18</v>
      </c>
      <c r="O508" t="str">
        <f t="shared" si="23"/>
        <v>Low</v>
      </c>
    </row>
    <row r="509" spans="1:15" x14ac:dyDescent="0.25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tr">
        <f t="shared" si="21"/>
        <v>Middle Age</v>
      </c>
      <c r="G509" t="s">
        <v>16</v>
      </c>
      <c r="H509" t="s">
        <v>35</v>
      </c>
      <c r="I509" t="s">
        <v>36</v>
      </c>
      <c r="J509" t="s">
        <v>37</v>
      </c>
      <c r="K509">
        <v>9</v>
      </c>
      <c r="L509">
        <v>41886.870000000003</v>
      </c>
      <c r="M509">
        <v>376981.83</v>
      </c>
      <c r="N509">
        <f t="shared" si="22"/>
        <v>376981.83</v>
      </c>
      <c r="O509" t="str">
        <f t="shared" si="23"/>
        <v>High</v>
      </c>
    </row>
    <row r="510" spans="1:15" x14ac:dyDescent="0.25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tr">
        <f t="shared" si="21"/>
        <v>Senior</v>
      </c>
      <c r="G510" t="s">
        <v>16</v>
      </c>
      <c r="H510" t="s">
        <v>60</v>
      </c>
      <c r="I510" t="s">
        <v>47</v>
      </c>
      <c r="J510" t="s">
        <v>37</v>
      </c>
      <c r="K510">
        <v>10</v>
      </c>
      <c r="L510">
        <v>7062.57</v>
      </c>
      <c r="M510">
        <v>70625.7</v>
      </c>
      <c r="N510">
        <f t="shared" si="22"/>
        <v>70625.7</v>
      </c>
      <c r="O510" t="str">
        <f t="shared" si="23"/>
        <v>Low</v>
      </c>
    </row>
    <row r="511" spans="1:15" x14ac:dyDescent="0.25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tr">
        <f t="shared" si="21"/>
        <v>Adult</v>
      </c>
      <c r="G511" t="s">
        <v>16</v>
      </c>
      <c r="H511" t="s">
        <v>69</v>
      </c>
      <c r="I511" t="s">
        <v>25</v>
      </c>
      <c r="J511" t="s">
        <v>26</v>
      </c>
      <c r="K511">
        <v>10</v>
      </c>
      <c r="L511">
        <v>8028.98</v>
      </c>
      <c r="M511">
        <v>80289.8</v>
      </c>
      <c r="N511">
        <f t="shared" si="22"/>
        <v>80289.799999999988</v>
      </c>
      <c r="O511" t="str">
        <f t="shared" si="23"/>
        <v>Low</v>
      </c>
    </row>
    <row r="512" spans="1:15" x14ac:dyDescent="0.25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tr">
        <f t="shared" si="21"/>
        <v>Young Adult</v>
      </c>
      <c r="G512" t="s">
        <v>16</v>
      </c>
      <c r="H512" t="s">
        <v>60</v>
      </c>
      <c r="I512" t="s">
        <v>76</v>
      </c>
      <c r="J512" t="s">
        <v>77</v>
      </c>
      <c r="K512">
        <v>7</v>
      </c>
      <c r="L512">
        <v>49735.32</v>
      </c>
      <c r="M512">
        <v>348147.24</v>
      </c>
      <c r="N512">
        <f t="shared" si="22"/>
        <v>348147.24</v>
      </c>
      <c r="O512" t="str">
        <f t="shared" si="23"/>
        <v>High</v>
      </c>
    </row>
    <row r="513" spans="1:15" x14ac:dyDescent="0.25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tr">
        <f t="shared" si="21"/>
        <v>Middle Age</v>
      </c>
      <c r="G513" t="s">
        <v>16</v>
      </c>
      <c r="H513" t="s">
        <v>60</v>
      </c>
      <c r="I513" t="s">
        <v>70</v>
      </c>
      <c r="J513" t="s">
        <v>71</v>
      </c>
      <c r="K513">
        <v>4</v>
      </c>
      <c r="L513">
        <v>25461.32</v>
      </c>
      <c r="M513">
        <v>101845.28</v>
      </c>
      <c r="N513">
        <f t="shared" si="22"/>
        <v>101845.28</v>
      </c>
      <c r="O513" t="str">
        <f t="shared" si="23"/>
        <v>Low</v>
      </c>
    </row>
    <row r="514" spans="1:15" x14ac:dyDescent="0.25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tr">
        <f t="shared" si="21"/>
        <v>Adult</v>
      </c>
      <c r="G514" t="s">
        <v>24</v>
      </c>
      <c r="H514" t="s">
        <v>17</v>
      </c>
      <c r="I514" t="s">
        <v>47</v>
      </c>
      <c r="J514" t="s">
        <v>37</v>
      </c>
      <c r="K514">
        <v>1</v>
      </c>
      <c r="L514">
        <v>30210.720000000001</v>
      </c>
      <c r="M514">
        <v>30210.720000000001</v>
      </c>
      <c r="N514">
        <f t="shared" si="22"/>
        <v>30210.720000000001</v>
      </c>
      <c r="O514" t="str">
        <f t="shared" si="23"/>
        <v>Low</v>
      </c>
    </row>
    <row r="515" spans="1:15" x14ac:dyDescent="0.25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tr">
        <f t="shared" ref="F515:F578" si="24">IF(E515&lt;=25,"Young Adult",IF(E515&lt;=40,"Adult",IF(E515&lt;=55,"Middle Age","Senior")))</f>
        <v>Middle Age</v>
      </c>
      <c r="G515" t="s">
        <v>24</v>
      </c>
      <c r="H515" t="s">
        <v>69</v>
      </c>
      <c r="I515" t="s">
        <v>36</v>
      </c>
      <c r="J515" t="s">
        <v>37</v>
      </c>
      <c r="K515">
        <v>6</v>
      </c>
      <c r="L515">
        <v>42150.74</v>
      </c>
      <c r="M515">
        <v>252904.44</v>
      </c>
      <c r="N515">
        <f t="shared" ref="N515:N578" si="25">K515*L515</f>
        <v>252904.44</v>
      </c>
      <c r="O515" t="str">
        <f t="shared" ref="O515:O578" si="26">IF(M515&lt;165000,"Low",IF(M515&lt;=330000,"Medium","High"))</f>
        <v>Medium</v>
      </c>
    </row>
    <row r="516" spans="1:15" x14ac:dyDescent="0.25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tr">
        <f t="shared" si="24"/>
        <v>Adult</v>
      </c>
      <c r="G516" t="s">
        <v>16</v>
      </c>
      <c r="H516" t="s">
        <v>69</v>
      </c>
      <c r="I516" t="s">
        <v>36</v>
      </c>
      <c r="J516" t="s">
        <v>37</v>
      </c>
      <c r="K516">
        <v>1</v>
      </c>
      <c r="L516">
        <v>16249.69</v>
      </c>
      <c r="M516">
        <v>16249.69</v>
      </c>
      <c r="N516">
        <f t="shared" si="25"/>
        <v>16249.69</v>
      </c>
      <c r="O516" t="str">
        <f t="shared" si="26"/>
        <v>Low</v>
      </c>
    </row>
    <row r="517" spans="1:15" x14ac:dyDescent="0.25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tr">
        <f t="shared" si="24"/>
        <v>Adult</v>
      </c>
      <c r="G517" t="s">
        <v>24</v>
      </c>
      <c r="H517" t="s">
        <v>60</v>
      </c>
      <c r="I517" t="s">
        <v>70</v>
      </c>
      <c r="J517" t="s">
        <v>71</v>
      </c>
      <c r="K517">
        <v>6</v>
      </c>
      <c r="L517">
        <v>16403.009999999998</v>
      </c>
      <c r="M517">
        <v>98418.06</v>
      </c>
      <c r="N517">
        <f t="shared" si="25"/>
        <v>98418.06</v>
      </c>
      <c r="O517" t="str">
        <f t="shared" si="26"/>
        <v>Low</v>
      </c>
    </row>
    <row r="518" spans="1:15" x14ac:dyDescent="0.25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tr">
        <f t="shared" si="24"/>
        <v>Adult</v>
      </c>
      <c r="G518" t="s">
        <v>16</v>
      </c>
      <c r="H518" t="s">
        <v>35</v>
      </c>
      <c r="I518" t="s">
        <v>47</v>
      </c>
      <c r="J518" t="s">
        <v>37</v>
      </c>
      <c r="K518">
        <v>7</v>
      </c>
      <c r="L518">
        <v>19933.439999999999</v>
      </c>
      <c r="M518">
        <v>139534.07999999999</v>
      </c>
      <c r="N518">
        <f t="shared" si="25"/>
        <v>139534.07999999999</v>
      </c>
      <c r="O518" t="str">
        <f t="shared" si="26"/>
        <v>Low</v>
      </c>
    </row>
    <row r="519" spans="1:15" x14ac:dyDescent="0.25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tr">
        <f t="shared" si="24"/>
        <v>Senior</v>
      </c>
      <c r="G519" t="s">
        <v>16</v>
      </c>
      <c r="H519" t="s">
        <v>51</v>
      </c>
      <c r="I519" t="s">
        <v>18</v>
      </c>
      <c r="J519" t="s">
        <v>19</v>
      </c>
      <c r="K519">
        <v>3</v>
      </c>
      <c r="L519">
        <v>48879.87</v>
      </c>
      <c r="M519">
        <v>146639.60999999999</v>
      </c>
      <c r="N519">
        <f t="shared" si="25"/>
        <v>146639.61000000002</v>
      </c>
      <c r="O519" t="str">
        <f t="shared" si="26"/>
        <v>Low</v>
      </c>
    </row>
    <row r="520" spans="1:15" x14ac:dyDescent="0.25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tr">
        <f t="shared" si="24"/>
        <v>Adult</v>
      </c>
      <c r="G520" t="s">
        <v>16</v>
      </c>
      <c r="H520" t="s">
        <v>46</v>
      </c>
      <c r="I520" t="s">
        <v>76</v>
      </c>
      <c r="J520" t="s">
        <v>77</v>
      </c>
      <c r="K520">
        <v>2</v>
      </c>
      <c r="L520">
        <v>32458.06</v>
      </c>
      <c r="M520">
        <v>64916.12</v>
      </c>
      <c r="N520">
        <f t="shared" si="25"/>
        <v>64916.12</v>
      </c>
      <c r="O520" t="str">
        <f t="shared" si="26"/>
        <v>Low</v>
      </c>
    </row>
    <row r="521" spans="1:15" x14ac:dyDescent="0.25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tr">
        <f t="shared" si="24"/>
        <v>Middle Age</v>
      </c>
      <c r="G521" t="s">
        <v>24</v>
      </c>
      <c r="H521" t="s">
        <v>46</v>
      </c>
      <c r="I521" t="s">
        <v>18</v>
      </c>
      <c r="J521" t="s">
        <v>19</v>
      </c>
      <c r="K521">
        <v>9</v>
      </c>
      <c r="L521">
        <v>32104.55</v>
      </c>
      <c r="M521">
        <v>288940.95</v>
      </c>
      <c r="N521">
        <f t="shared" si="25"/>
        <v>288940.95</v>
      </c>
      <c r="O521" t="str">
        <f t="shared" si="26"/>
        <v>Medium</v>
      </c>
    </row>
    <row r="522" spans="1:15" x14ac:dyDescent="0.25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tr">
        <f t="shared" si="24"/>
        <v>Adult</v>
      </c>
      <c r="G522" t="s">
        <v>24</v>
      </c>
      <c r="H522" t="s">
        <v>102</v>
      </c>
      <c r="I522" t="s">
        <v>47</v>
      </c>
      <c r="J522" t="s">
        <v>37</v>
      </c>
      <c r="K522">
        <v>3</v>
      </c>
      <c r="L522">
        <v>35318.199999999997</v>
      </c>
      <c r="M522">
        <v>105954.6</v>
      </c>
      <c r="N522">
        <f t="shared" si="25"/>
        <v>105954.59999999999</v>
      </c>
      <c r="O522" t="str">
        <f t="shared" si="26"/>
        <v>Low</v>
      </c>
    </row>
    <row r="523" spans="1:15" x14ac:dyDescent="0.25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tr">
        <f t="shared" si="24"/>
        <v>Senior</v>
      </c>
      <c r="G523" t="s">
        <v>24</v>
      </c>
      <c r="H523" t="s">
        <v>102</v>
      </c>
      <c r="I523" t="s">
        <v>36</v>
      </c>
      <c r="J523" t="s">
        <v>37</v>
      </c>
      <c r="K523">
        <v>1</v>
      </c>
      <c r="L523">
        <v>47870.04</v>
      </c>
      <c r="M523">
        <v>47870.04</v>
      </c>
      <c r="N523">
        <f t="shared" si="25"/>
        <v>47870.04</v>
      </c>
      <c r="O523" t="str">
        <f t="shared" si="26"/>
        <v>Low</v>
      </c>
    </row>
    <row r="524" spans="1:15" x14ac:dyDescent="0.25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tr">
        <f t="shared" si="24"/>
        <v>Adult</v>
      </c>
      <c r="G524" t="s">
        <v>16</v>
      </c>
      <c r="H524" t="s">
        <v>17</v>
      </c>
      <c r="I524" t="s">
        <v>70</v>
      </c>
      <c r="J524" t="s">
        <v>71</v>
      </c>
      <c r="K524">
        <v>1</v>
      </c>
      <c r="L524">
        <v>47848</v>
      </c>
      <c r="M524">
        <v>47848</v>
      </c>
      <c r="N524">
        <f t="shared" si="25"/>
        <v>47848</v>
      </c>
      <c r="O524" t="str">
        <f t="shared" si="26"/>
        <v>Low</v>
      </c>
    </row>
    <row r="525" spans="1:15" x14ac:dyDescent="0.25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tr">
        <f t="shared" si="24"/>
        <v>Middle Age</v>
      </c>
      <c r="G525" t="s">
        <v>16</v>
      </c>
      <c r="I525" t="s">
        <v>70</v>
      </c>
      <c r="J525" t="s">
        <v>71</v>
      </c>
      <c r="K525">
        <v>7</v>
      </c>
      <c r="L525">
        <v>751.97</v>
      </c>
      <c r="M525">
        <v>5263.79</v>
      </c>
      <c r="N525">
        <f t="shared" si="25"/>
        <v>5263.79</v>
      </c>
      <c r="O525" t="str">
        <f t="shared" si="26"/>
        <v>Low</v>
      </c>
    </row>
    <row r="526" spans="1:15" x14ac:dyDescent="0.25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tr">
        <f t="shared" si="24"/>
        <v>Middle Age</v>
      </c>
      <c r="G526" t="s">
        <v>24</v>
      </c>
      <c r="H526" t="s">
        <v>60</v>
      </c>
      <c r="I526" t="s">
        <v>36</v>
      </c>
      <c r="J526" t="s">
        <v>37</v>
      </c>
      <c r="K526">
        <v>2</v>
      </c>
      <c r="L526">
        <v>22666.98</v>
      </c>
      <c r="M526">
        <v>45333.96</v>
      </c>
      <c r="N526">
        <f t="shared" si="25"/>
        <v>45333.96</v>
      </c>
      <c r="O526" t="str">
        <f t="shared" si="26"/>
        <v>Low</v>
      </c>
    </row>
    <row r="527" spans="1:15" x14ac:dyDescent="0.25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tr">
        <f t="shared" si="24"/>
        <v>Young Adult</v>
      </c>
      <c r="G527" t="s">
        <v>16</v>
      </c>
      <c r="H527" t="s">
        <v>51</v>
      </c>
      <c r="I527" t="s">
        <v>36</v>
      </c>
      <c r="J527" t="s">
        <v>37</v>
      </c>
      <c r="K527">
        <v>8</v>
      </c>
      <c r="L527">
        <v>12225.23</v>
      </c>
      <c r="M527">
        <v>97801.84</v>
      </c>
      <c r="N527">
        <f t="shared" si="25"/>
        <v>97801.84</v>
      </c>
      <c r="O527" t="str">
        <f t="shared" si="26"/>
        <v>Low</v>
      </c>
    </row>
    <row r="528" spans="1:15" x14ac:dyDescent="0.25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tr">
        <f t="shared" si="24"/>
        <v>Middle Age</v>
      </c>
      <c r="G528" t="s">
        <v>16</v>
      </c>
      <c r="H528" t="s">
        <v>115</v>
      </c>
      <c r="I528" t="s">
        <v>18</v>
      </c>
      <c r="J528" t="s">
        <v>19</v>
      </c>
      <c r="K528">
        <v>7</v>
      </c>
      <c r="L528">
        <v>17760.62</v>
      </c>
      <c r="M528">
        <v>124324.34</v>
      </c>
      <c r="N528">
        <f t="shared" si="25"/>
        <v>124324.34</v>
      </c>
      <c r="O528" t="str">
        <f t="shared" si="26"/>
        <v>Low</v>
      </c>
    </row>
    <row r="529" spans="1:15" x14ac:dyDescent="0.25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tr">
        <f t="shared" si="24"/>
        <v>Adult</v>
      </c>
      <c r="G529" t="s">
        <v>24</v>
      </c>
      <c r="H529" t="s">
        <v>60</v>
      </c>
      <c r="I529" t="s">
        <v>25</v>
      </c>
      <c r="J529" t="s">
        <v>26</v>
      </c>
      <c r="K529">
        <v>6</v>
      </c>
      <c r="L529">
        <v>8151.02</v>
      </c>
      <c r="M529">
        <v>48906.12</v>
      </c>
      <c r="N529">
        <f t="shared" si="25"/>
        <v>48906.12</v>
      </c>
      <c r="O529" t="str">
        <f t="shared" si="26"/>
        <v>Low</v>
      </c>
    </row>
    <row r="530" spans="1:15" x14ac:dyDescent="0.25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tr">
        <f t="shared" si="24"/>
        <v>Middle Age</v>
      </c>
      <c r="G530" t="s">
        <v>24</v>
      </c>
      <c r="H530" t="s">
        <v>102</v>
      </c>
      <c r="I530" t="s">
        <v>70</v>
      </c>
      <c r="J530" t="s">
        <v>71</v>
      </c>
      <c r="K530">
        <v>9</v>
      </c>
      <c r="L530">
        <v>12514.53</v>
      </c>
      <c r="M530">
        <v>112630.77</v>
      </c>
      <c r="N530">
        <f t="shared" si="25"/>
        <v>112630.77</v>
      </c>
      <c r="O530" t="str">
        <f t="shared" si="26"/>
        <v>Low</v>
      </c>
    </row>
    <row r="531" spans="1:15" x14ac:dyDescent="0.25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tr">
        <f t="shared" si="24"/>
        <v>Senior</v>
      </c>
      <c r="G531" t="s">
        <v>24</v>
      </c>
      <c r="H531" t="s">
        <v>102</v>
      </c>
      <c r="I531" t="s">
        <v>18</v>
      </c>
      <c r="J531" t="s">
        <v>19</v>
      </c>
      <c r="K531">
        <v>1</v>
      </c>
      <c r="L531">
        <v>40250.629999999997</v>
      </c>
      <c r="M531">
        <v>40250.629999999997</v>
      </c>
      <c r="N531">
        <f t="shared" si="25"/>
        <v>40250.629999999997</v>
      </c>
      <c r="O531" t="str">
        <f t="shared" si="26"/>
        <v>Low</v>
      </c>
    </row>
    <row r="532" spans="1:15" x14ac:dyDescent="0.25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tr">
        <f t="shared" si="24"/>
        <v>Middle Age</v>
      </c>
      <c r="G532" t="s">
        <v>24</v>
      </c>
      <c r="H532" t="s">
        <v>69</v>
      </c>
      <c r="I532" t="s">
        <v>25</v>
      </c>
      <c r="J532" t="s">
        <v>26</v>
      </c>
      <c r="K532">
        <v>3</v>
      </c>
      <c r="L532">
        <v>48031.9</v>
      </c>
      <c r="M532">
        <v>144095.70000000001</v>
      </c>
      <c r="N532">
        <f t="shared" si="25"/>
        <v>144095.70000000001</v>
      </c>
      <c r="O532" t="str">
        <f t="shared" si="26"/>
        <v>Low</v>
      </c>
    </row>
    <row r="533" spans="1:15" x14ac:dyDescent="0.25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tr">
        <f t="shared" si="24"/>
        <v>Young Adult</v>
      </c>
      <c r="G533" t="s">
        <v>16</v>
      </c>
      <c r="H533" t="s">
        <v>51</v>
      </c>
      <c r="I533" t="s">
        <v>18</v>
      </c>
      <c r="J533" t="s">
        <v>19</v>
      </c>
      <c r="K533">
        <v>8</v>
      </c>
      <c r="L533">
        <v>45296.32</v>
      </c>
      <c r="M533">
        <v>362370.56</v>
      </c>
      <c r="N533">
        <f t="shared" si="25"/>
        <v>362370.56</v>
      </c>
      <c r="O533" t="str">
        <f t="shared" si="26"/>
        <v>High</v>
      </c>
    </row>
    <row r="534" spans="1:15" x14ac:dyDescent="0.25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tr">
        <f t="shared" si="24"/>
        <v>Adult</v>
      </c>
      <c r="G534" t="s">
        <v>16</v>
      </c>
      <c r="H534" t="s">
        <v>60</v>
      </c>
      <c r="I534" t="s">
        <v>36</v>
      </c>
      <c r="J534" t="s">
        <v>37</v>
      </c>
      <c r="K534">
        <v>5</v>
      </c>
      <c r="L534">
        <v>25036.53</v>
      </c>
      <c r="M534">
        <v>125182.65</v>
      </c>
      <c r="N534">
        <f t="shared" si="25"/>
        <v>125182.65</v>
      </c>
      <c r="O534" t="str">
        <f t="shared" si="26"/>
        <v>Low</v>
      </c>
    </row>
    <row r="535" spans="1:15" x14ac:dyDescent="0.25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tr">
        <f t="shared" si="24"/>
        <v>Young Adult</v>
      </c>
      <c r="G535" t="s">
        <v>16</v>
      </c>
      <c r="H535" t="s">
        <v>69</v>
      </c>
      <c r="I535" t="s">
        <v>18</v>
      </c>
      <c r="J535" t="s">
        <v>19</v>
      </c>
      <c r="K535">
        <v>5</v>
      </c>
      <c r="L535">
        <v>21466.01</v>
      </c>
      <c r="M535">
        <v>107330.05</v>
      </c>
      <c r="N535">
        <f t="shared" si="25"/>
        <v>107330.04999999999</v>
      </c>
      <c r="O535" t="str">
        <f t="shared" si="26"/>
        <v>Low</v>
      </c>
    </row>
    <row r="536" spans="1:15" x14ac:dyDescent="0.25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tr">
        <f t="shared" si="24"/>
        <v>Senior</v>
      </c>
      <c r="G536" t="s">
        <v>16</v>
      </c>
      <c r="H536" t="s">
        <v>17</v>
      </c>
      <c r="I536" t="s">
        <v>18</v>
      </c>
      <c r="J536" t="s">
        <v>19</v>
      </c>
      <c r="K536">
        <v>2</v>
      </c>
      <c r="L536">
        <v>28506.81</v>
      </c>
      <c r="M536">
        <v>57013.62</v>
      </c>
      <c r="N536">
        <f t="shared" si="25"/>
        <v>57013.62</v>
      </c>
      <c r="O536" t="str">
        <f t="shared" si="26"/>
        <v>Low</v>
      </c>
    </row>
    <row r="537" spans="1:15" x14ac:dyDescent="0.25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tr">
        <f t="shared" si="24"/>
        <v>Adult</v>
      </c>
      <c r="G537" t="s">
        <v>16</v>
      </c>
      <c r="H537" t="s">
        <v>60</v>
      </c>
      <c r="I537" t="s">
        <v>76</v>
      </c>
      <c r="J537" t="s">
        <v>77</v>
      </c>
      <c r="K537">
        <v>6</v>
      </c>
      <c r="L537">
        <v>30698.79</v>
      </c>
      <c r="M537">
        <v>184192.74</v>
      </c>
      <c r="N537">
        <f t="shared" si="25"/>
        <v>184192.74</v>
      </c>
      <c r="O537" t="str">
        <f t="shared" si="26"/>
        <v>Medium</v>
      </c>
    </row>
    <row r="538" spans="1:15" x14ac:dyDescent="0.25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tr">
        <f t="shared" si="24"/>
        <v>Senior</v>
      </c>
      <c r="G538" t="s">
        <v>16</v>
      </c>
      <c r="H538" t="s">
        <v>115</v>
      </c>
      <c r="I538" t="s">
        <v>47</v>
      </c>
      <c r="J538" t="s">
        <v>37</v>
      </c>
      <c r="K538">
        <v>6</v>
      </c>
      <c r="L538">
        <v>3230.47</v>
      </c>
      <c r="M538">
        <v>19382.82</v>
      </c>
      <c r="N538">
        <f t="shared" si="25"/>
        <v>19382.82</v>
      </c>
      <c r="O538" t="str">
        <f t="shared" si="26"/>
        <v>Low</v>
      </c>
    </row>
    <row r="539" spans="1:15" x14ac:dyDescent="0.25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tr">
        <f t="shared" si="24"/>
        <v>Adult</v>
      </c>
      <c r="G539" t="s">
        <v>24</v>
      </c>
      <c r="H539" t="s">
        <v>102</v>
      </c>
      <c r="I539" t="s">
        <v>18</v>
      </c>
      <c r="J539" t="s">
        <v>19</v>
      </c>
      <c r="K539">
        <v>6</v>
      </c>
      <c r="L539">
        <v>13606.65</v>
      </c>
      <c r="M539">
        <v>81639.899999999994</v>
      </c>
      <c r="N539">
        <f t="shared" si="25"/>
        <v>81639.899999999994</v>
      </c>
      <c r="O539" t="str">
        <f t="shared" si="26"/>
        <v>Low</v>
      </c>
    </row>
    <row r="540" spans="1:15" x14ac:dyDescent="0.25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tr">
        <f t="shared" si="24"/>
        <v>Adult</v>
      </c>
      <c r="G540" t="s">
        <v>24</v>
      </c>
      <c r="H540" t="s">
        <v>60</v>
      </c>
      <c r="I540" t="s">
        <v>18</v>
      </c>
      <c r="J540" t="s">
        <v>19</v>
      </c>
      <c r="K540">
        <v>6</v>
      </c>
      <c r="L540">
        <v>9146.39</v>
      </c>
      <c r="M540">
        <v>54878.34</v>
      </c>
      <c r="N540">
        <f t="shared" si="25"/>
        <v>54878.34</v>
      </c>
      <c r="O540" t="str">
        <f t="shared" si="26"/>
        <v>Low</v>
      </c>
    </row>
    <row r="541" spans="1:15" x14ac:dyDescent="0.25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tr">
        <f t="shared" si="24"/>
        <v>Young Adult</v>
      </c>
      <c r="G541" t="s">
        <v>24</v>
      </c>
      <c r="H541" t="s">
        <v>102</v>
      </c>
      <c r="I541" t="s">
        <v>18</v>
      </c>
      <c r="J541" t="s">
        <v>19</v>
      </c>
      <c r="K541">
        <v>9</v>
      </c>
      <c r="L541">
        <v>26764.87</v>
      </c>
      <c r="M541">
        <v>240883.83</v>
      </c>
      <c r="N541">
        <f t="shared" si="25"/>
        <v>240883.83</v>
      </c>
      <c r="O541" t="str">
        <f t="shared" si="26"/>
        <v>Medium</v>
      </c>
    </row>
    <row r="542" spans="1:15" x14ac:dyDescent="0.25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tr">
        <f t="shared" si="24"/>
        <v>Adult</v>
      </c>
      <c r="G542" t="s">
        <v>16</v>
      </c>
      <c r="H542" t="s">
        <v>51</v>
      </c>
      <c r="I542" t="s">
        <v>70</v>
      </c>
      <c r="J542" t="s">
        <v>71</v>
      </c>
      <c r="K542">
        <v>7</v>
      </c>
      <c r="L542">
        <v>6887.98</v>
      </c>
      <c r="M542">
        <v>48215.86</v>
      </c>
      <c r="N542">
        <f t="shared" si="25"/>
        <v>48215.86</v>
      </c>
      <c r="O542" t="str">
        <f t="shared" si="26"/>
        <v>Low</v>
      </c>
    </row>
    <row r="543" spans="1:15" x14ac:dyDescent="0.25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tr">
        <f t="shared" si="24"/>
        <v>Adult</v>
      </c>
      <c r="G543" t="s">
        <v>24</v>
      </c>
      <c r="H543" t="s">
        <v>51</v>
      </c>
      <c r="I543" t="s">
        <v>18</v>
      </c>
      <c r="J543" t="s">
        <v>19</v>
      </c>
      <c r="K543">
        <v>6</v>
      </c>
      <c r="L543">
        <v>49889.13</v>
      </c>
      <c r="M543">
        <v>299334.78000000003</v>
      </c>
      <c r="N543">
        <f t="shared" si="25"/>
        <v>299334.77999999997</v>
      </c>
      <c r="O543" t="str">
        <f t="shared" si="26"/>
        <v>Medium</v>
      </c>
    </row>
    <row r="544" spans="1:15" x14ac:dyDescent="0.25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tr">
        <f t="shared" si="24"/>
        <v>Adult</v>
      </c>
      <c r="G544" t="s">
        <v>24</v>
      </c>
      <c r="H544" t="s">
        <v>102</v>
      </c>
      <c r="I544" t="s">
        <v>47</v>
      </c>
      <c r="J544" t="s">
        <v>37</v>
      </c>
      <c r="K544">
        <v>4</v>
      </c>
      <c r="L544">
        <v>39050.879999999997</v>
      </c>
      <c r="M544">
        <v>156203.51999999999</v>
      </c>
      <c r="N544">
        <f t="shared" si="25"/>
        <v>156203.51999999999</v>
      </c>
      <c r="O544" t="str">
        <f t="shared" si="26"/>
        <v>Low</v>
      </c>
    </row>
    <row r="545" spans="1:15" x14ac:dyDescent="0.25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tr">
        <f t="shared" si="24"/>
        <v>Young Adult</v>
      </c>
      <c r="G545" t="s">
        <v>24</v>
      </c>
      <c r="H545" t="s">
        <v>115</v>
      </c>
      <c r="I545" t="s">
        <v>18</v>
      </c>
      <c r="J545" t="s">
        <v>19</v>
      </c>
      <c r="K545">
        <v>1</v>
      </c>
      <c r="L545">
        <v>14634.25</v>
      </c>
      <c r="M545">
        <v>14634.25</v>
      </c>
      <c r="N545">
        <f t="shared" si="25"/>
        <v>14634.25</v>
      </c>
      <c r="O545" t="str">
        <f t="shared" si="26"/>
        <v>Low</v>
      </c>
    </row>
    <row r="546" spans="1:15" x14ac:dyDescent="0.25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tr">
        <f t="shared" si="24"/>
        <v>Adult</v>
      </c>
      <c r="G546" t="s">
        <v>24</v>
      </c>
      <c r="H546" t="s">
        <v>60</v>
      </c>
      <c r="I546" t="s">
        <v>36</v>
      </c>
      <c r="J546" t="s">
        <v>37</v>
      </c>
      <c r="K546">
        <v>7</v>
      </c>
      <c r="L546">
        <v>33006.89</v>
      </c>
      <c r="M546">
        <v>231048.23</v>
      </c>
      <c r="N546">
        <f t="shared" si="25"/>
        <v>231048.22999999998</v>
      </c>
      <c r="O546" t="str">
        <f t="shared" si="26"/>
        <v>Medium</v>
      </c>
    </row>
    <row r="547" spans="1:15" x14ac:dyDescent="0.25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tr">
        <f t="shared" si="24"/>
        <v>Adult</v>
      </c>
      <c r="G547" t="s">
        <v>24</v>
      </c>
      <c r="H547" t="s">
        <v>51</v>
      </c>
      <c r="I547" t="s">
        <v>47</v>
      </c>
      <c r="J547" t="s">
        <v>37</v>
      </c>
      <c r="K547">
        <v>9</v>
      </c>
      <c r="L547">
        <v>46663.92</v>
      </c>
      <c r="M547">
        <v>419975.28</v>
      </c>
      <c r="N547">
        <f t="shared" si="25"/>
        <v>419975.27999999997</v>
      </c>
      <c r="O547" t="str">
        <f t="shared" si="26"/>
        <v>High</v>
      </c>
    </row>
    <row r="548" spans="1:15" x14ac:dyDescent="0.25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tr">
        <f t="shared" si="24"/>
        <v>Adult</v>
      </c>
      <c r="G548" t="s">
        <v>16</v>
      </c>
      <c r="H548" t="s">
        <v>115</v>
      </c>
      <c r="I548" t="s">
        <v>70</v>
      </c>
      <c r="J548" t="s">
        <v>71</v>
      </c>
      <c r="K548">
        <v>9</v>
      </c>
      <c r="L548">
        <v>3626.27</v>
      </c>
      <c r="M548">
        <v>32636.43</v>
      </c>
      <c r="N548">
        <f t="shared" si="25"/>
        <v>32636.43</v>
      </c>
      <c r="O548" t="str">
        <f t="shared" si="26"/>
        <v>Low</v>
      </c>
    </row>
    <row r="549" spans="1:15" x14ac:dyDescent="0.25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tr">
        <f t="shared" si="24"/>
        <v>Senior</v>
      </c>
      <c r="G549" t="s">
        <v>24</v>
      </c>
      <c r="H549" t="s">
        <v>46</v>
      </c>
      <c r="I549" t="s">
        <v>25</v>
      </c>
      <c r="J549" t="s">
        <v>26</v>
      </c>
      <c r="K549">
        <v>8</v>
      </c>
      <c r="L549">
        <v>13184.14</v>
      </c>
      <c r="M549">
        <v>105473.12</v>
      </c>
      <c r="N549">
        <f t="shared" si="25"/>
        <v>105473.12</v>
      </c>
      <c r="O549" t="str">
        <f t="shared" si="26"/>
        <v>Low</v>
      </c>
    </row>
    <row r="550" spans="1:15" x14ac:dyDescent="0.25">
      <c r="A550" t="s">
        <v>1719</v>
      </c>
      <c r="B550" t="s">
        <v>467</v>
      </c>
      <c r="C550" t="s">
        <v>1720</v>
      </c>
      <c r="D550" t="s">
        <v>1721</v>
      </c>
      <c r="E550">
        <v>41</v>
      </c>
      <c r="F550" t="str">
        <f t="shared" si="24"/>
        <v>Middle Age</v>
      </c>
      <c r="G550" t="s">
        <v>24</v>
      </c>
      <c r="H550" t="s">
        <v>115</v>
      </c>
      <c r="I550" t="s">
        <v>18</v>
      </c>
      <c r="J550" t="s">
        <v>19</v>
      </c>
      <c r="K550">
        <v>5</v>
      </c>
      <c r="L550">
        <v>41509.54</v>
      </c>
      <c r="M550">
        <v>207547.7</v>
      </c>
      <c r="N550">
        <f t="shared" si="25"/>
        <v>207547.7</v>
      </c>
      <c r="O550" t="str">
        <f t="shared" si="26"/>
        <v>Medium</v>
      </c>
    </row>
    <row r="551" spans="1:15" x14ac:dyDescent="0.25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tr">
        <f t="shared" si="24"/>
        <v>Adult</v>
      </c>
      <c r="G551" t="s">
        <v>24</v>
      </c>
      <c r="H551" t="s">
        <v>17</v>
      </c>
      <c r="I551" t="s">
        <v>47</v>
      </c>
      <c r="J551" t="s">
        <v>37</v>
      </c>
      <c r="K551">
        <v>2</v>
      </c>
      <c r="L551">
        <v>27044.74</v>
      </c>
      <c r="M551">
        <v>54089.48</v>
      </c>
      <c r="N551">
        <f t="shared" si="25"/>
        <v>54089.48</v>
      </c>
      <c r="O551" t="str">
        <f t="shared" si="26"/>
        <v>Low</v>
      </c>
    </row>
    <row r="552" spans="1:15" x14ac:dyDescent="0.25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tr">
        <f t="shared" si="24"/>
        <v>Senior</v>
      </c>
      <c r="G552" t="s">
        <v>24</v>
      </c>
      <c r="H552" t="s">
        <v>35</v>
      </c>
      <c r="I552" t="s">
        <v>25</v>
      </c>
      <c r="J552" t="s">
        <v>26</v>
      </c>
      <c r="K552">
        <v>2</v>
      </c>
      <c r="L552">
        <v>35113.980000000003</v>
      </c>
      <c r="M552">
        <v>70227.960000000006</v>
      </c>
      <c r="N552">
        <f t="shared" si="25"/>
        <v>70227.960000000006</v>
      </c>
      <c r="O552" t="str">
        <f t="shared" si="26"/>
        <v>Low</v>
      </c>
    </row>
    <row r="553" spans="1:15" x14ac:dyDescent="0.25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tr">
        <f t="shared" si="24"/>
        <v>Adult</v>
      </c>
      <c r="G553" t="s">
        <v>16</v>
      </c>
      <c r="H553" t="s">
        <v>17</v>
      </c>
      <c r="I553" t="s">
        <v>18</v>
      </c>
      <c r="J553" t="s">
        <v>19</v>
      </c>
      <c r="K553">
        <v>5</v>
      </c>
      <c r="L553">
        <v>38032.019999999997</v>
      </c>
      <c r="M553">
        <v>190160.1</v>
      </c>
      <c r="N553">
        <f t="shared" si="25"/>
        <v>190160.09999999998</v>
      </c>
      <c r="O553" t="str">
        <f t="shared" si="26"/>
        <v>Medium</v>
      </c>
    </row>
    <row r="554" spans="1:15" x14ac:dyDescent="0.25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tr">
        <f t="shared" si="24"/>
        <v>Adult</v>
      </c>
      <c r="G554" t="s">
        <v>24</v>
      </c>
      <c r="H554" t="s">
        <v>60</v>
      </c>
      <c r="I554" t="s">
        <v>36</v>
      </c>
      <c r="J554" t="s">
        <v>37</v>
      </c>
      <c r="K554">
        <v>9</v>
      </c>
      <c r="L554">
        <v>37614.58</v>
      </c>
      <c r="M554">
        <v>338531.22</v>
      </c>
      <c r="N554">
        <f t="shared" si="25"/>
        <v>338531.22000000003</v>
      </c>
      <c r="O554" t="str">
        <f t="shared" si="26"/>
        <v>High</v>
      </c>
    </row>
    <row r="555" spans="1:15" x14ac:dyDescent="0.25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tr">
        <f t="shared" si="24"/>
        <v>Senior</v>
      </c>
      <c r="G555" t="s">
        <v>24</v>
      </c>
      <c r="H555" t="s">
        <v>102</v>
      </c>
      <c r="I555" t="s">
        <v>25</v>
      </c>
      <c r="J555" t="s">
        <v>26</v>
      </c>
      <c r="K555">
        <v>4</v>
      </c>
      <c r="L555">
        <v>18505.560000000001</v>
      </c>
      <c r="M555">
        <v>74022.240000000005</v>
      </c>
      <c r="N555">
        <f t="shared" si="25"/>
        <v>74022.240000000005</v>
      </c>
      <c r="O555" t="str">
        <f t="shared" si="26"/>
        <v>Low</v>
      </c>
    </row>
    <row r="556" spans="1:15" x14ac:dyDescent="0.25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tr">
        <f t="shared" si="24"/>
        <v>Young Adult</v>
      </c>
      <c r="G556" t="s">
        <v>24</v>
      </c>
      <c r="H556" t="s">
        <v>46</v>
      </c>
      <c r="I556" t="s">
        <v>36</v>
      </c>
      <c r="J556" t="s">
        <v>37</v>
      </c>
      <c r="K556">
        <v>6</v>
      </c>
      <c r="L556">
        <v>21017.46</v>
      </c>
      <c r="M556">
        <v>126104.76</v>
      </c>
      <c r="N556">
        <f t="shared" si="25"/>
        <v>126104.76</v>
      </c>
      <c r="O556" t="str">
        <f t="shared" si="26"/>
        <v>Low</v>
      </c>
    </row>
    <row r="557" spans="1:15" x14ac:dyDescent="0.25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tr">
        <f t="shared" si="24"/>
        <v>Young Adult</v>
      </c>
      <c r="G557" t="s">
        <v>16</v>
      </c>
      <c r="H557" t="s">
        <v>46</v>
      </c>
      <c r="I557" t="s">
        <v>25</v>
      </c>
      <c r="J557" t="s">
        <v>26</v>
      </c>
      <c r="K557">
        <v>8</v>
      </c>
      <c r="L557">
        <v>1204.93</v>
      </c>
      <c r="M557">
        <v>9639.44</v>
      </c>
      <c r="N557">
        <f t="shared" si="25"/>
        <v>9639.44</v>
      </c>
      <c r="O557" t="str">
        <f t="shared" si="26"/>
        <v>Low</v>
      </c>
    </row>
    <row r="558" spans="1:15" x14ac:dyDescent="0.25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tr">
        <f t="shared" si="24"/>
        <v>Adult</v>
      </c>
      <c r="G558" t="s">
        <v>24</v>
      </c>
      <c r="H558" t="s">
        <v>69</v>
      </c>
      <c r="I558" t="s">
        <v>18</v>
      </c>
      <c r="J558" t="s">
        <v>19</v>
      </c>
      <c r="K558">
        <v>7</v>
      </c>
      <c r="L558">
        <v>36390.58</v>
      </c>
      <c r="M558">
        <v>254734.06</v>
      </c>
      <c r="N558">
        <f t="shared" si="25"/>
        <v>254734.06</v>
      </c>
      <c r="O558" t="str">
        <f t="shared" si="26"/>
        <v>Medium</v>
      </c>
    </row>
    <row r="559" spans="1:15" x14ac:dyDescent="0.25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tr">
        <f t="shared" si="24"/>
        <v>Young Adult</v>
      </c>
      <c r="G559" t="s">
        <v>24</v>
      </c>
      <c r="H559" t="s">
        <v>69</v>
      </c>
      <c r="I559" t="s">
        <v>36</v>
      </c>
      <c r="J559" t="s">
        <v>37</v>
      </c>
      <c r="K559">
        <v>2</v>
      </c>
      <c r="L559">
        <v>17302.3</v>
      </c>
      <c r="M559">
        <v>34604.6</v>
      </c>
      <c r="N559">
        <f t="shared" si="25"/>
        <v>34604.6</v>
      </c>
      <c r="O559" t="str">
        <f t="shared" si="26"/>
        <v>Low</v>
      </c>
    </row>
    <row r="560" spans="1:15" x14ac:dyDescent="0.25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tr">
        <f t="shared" si="24"/>
        <v>Young Adult</v>
      </c>
      <c r="G560" t="s">
        <v>24</v>
      </c>
      <c r="H560" t="s">
        <v>35</v>
      </c>
      <c r="I560" t="s">
        <v>36</v>
      </c>
      <c r="J560" t="s">
        <v>37</v>
      </c>
      <c r="K560">
        <v>10</v>
      </c>
      <c r="L560">
        <v>6613.42</v>
      </c>
      <c r="M560">
        <v>66134.2</v>
      </c>
      <c r="N560">
        <f t="shared" si="25"/>
        <v>66134.2</v>
      </c>
      <c r="O560" t="str">
        <f t="shared" si="26"/>
        <v>Low</v>
      </c>
    </row>
    <row r="561" spans="1:15" x14ac:dyDescent="0.25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tr">
        <f t="shared" si="24"/>
        <v>Adult</v>
      </c>
      <c r="G561" t="s">
        <v>16</v>
      </c>
      <c r="H561" t="s">
        <v>35</v>
      </c>
      <c r="I561" t="s">
        <v>36</v>
      </c>
      <c r="J561" t="s">
        <v>37</v>
      </c>
      <c r="K561">
        <v>5</v>
      </c>
      <c r="L561">
        <v>28280.37</v>
      </c>
      <c r="M561">
        <v>141401.85</v>
      </c>
      <c r="N561">
        <f t="shared" si="25"/>
        <v>141401.85</v>
      </c>
      <c r="O561" t="str">
        <f t="shared" si="26"/>
        <v>Low</v>
      </c>
    </row>
    <row r="562" spans="1:15" x14ac:dyDescent="0.25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tr">
        <f t="shared" si="24"/>
        <v>Senior</v>
      </c>
      <c r="G562" t="s">
        <v>16</v>
      </c>
      <c r="H562" t="s">
        <v>69</v>
      </c>
      <c r="I562" t="s">
        <v>25</v>
      </c>
      <c r="J562" t="s">
        <v>26</v>
      </c>
      <c r="K562">
        <v>1</v>
      </c>
      <c r="L562">
        <v>6150.86</v>
      </c>
      <c r="M562">
        <v>6150.86</v>
      </c>
      <c r="N562">
        <f t="shared" si="25"/>
        <v>6150.86</v>
      </c>
      <c r="O562" t="str">
        <f t="shared" si="26"/>
        <v>Low</v>
      </c>
    </row>
    <row r="563" spans="1:15" x14ac:dyDescent="0.25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tr">
        <f t="shared" si="24"/>
        <v>Middle Age</v>
      </c>
      <c r="G563" t="s">
        <v>16</v>
      </c>
      <c r="H563" t="s">
        <v>17</v>
      </c>
      <c r="I563" t="s">
        <v>18</v>
      </c>
      <c r="J563" t="s">
        <v>19</v>
      </c>
      <c r="K563">
        <v>4</v>
      </c>
      <c r="L563">
        <v>26924.41</v>
      </c>
      <c r="M563">
        <v>107697.64</v>
      </c>
      <c r="N563">
        <f t="shared" si="25"/>
        <v>107697.64</v>
      </c>
      <c r="O563" t="str">
        <f t="shared" si="26"/>
        <v>Low</v>
      </c>
    </row>
    <row r="564" spans="1:15" x14ac:dyDescent="0.25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tr">
        <f t="shared" si="24"/>
        <v>Senior</v>
      </c>
      <c r="G564" t="s">
        <v>24</v>
      </c>
      <c r="H564" t="s">
        <v>46</v>
      </c>
      <c r="I564" t="s">
        <v>25</v>
      </c>
      <c r="J564" t="s">
        <v>26</v>
      </c>
      <c r="K564">
        <v>3</v>
      </c>
      <c r="L564">
        <v>6301.32</v>
      </c>
      <c r="M564">
        <v>18903.96</v>
      </c>
      <c r="N564">
        <f t="shared" si="25"/>
        <v>18903.96</v>
      </c>
      <c r="O564" t="str">
        <f t="shared" si="26"/>
        <v>Low</v>
      </c>
    </row>
    <row r="565" spans="1:15" x14ac:dyDescent="0.25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tr">
        <f t="shared" si="24"/>
        <v>Adult</v>
      </c>
      <c r="G565" t="s">
        <v>16</v>
      </c>
      <c r="H565" t="s">
        <v>51</v>
      </c>
      <c r="I565" t="s">
        <v>25</v>
      </c>
      <c r="J565" t="s">
        <v>26</v>
      </c>
      <c r="K565">
        <v>10</v>
      </c>
      <c r="L565">
        <v>39690.68</v>
      </c>
      <c r="M565">
        <v>396906.8</v>
      </c>
      <c r="N565">
        <f t="shared" si="25"/>
        <v>396906.8</v>
      </c>
      <c r="O565" t="str">
        <f t="shared" si="26"/>
        <v>High</v>
      </c>
    </row>
    <row r="566" spans="1:15" x14ac:dyDescent="0.25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tr">
        <f t="shared" si="24"/>
        <v>Senior</v>
      </c>
      <c r="G566" t="s">
        <v>24</v>
      </c>
      <c r="H566" t="s">
        <v>17</v>
      </c>
      <c r="I566" t="s">
        <v>76</v>
      </c>
      <c r="J566" t="s">
        <v>77</v>
      </c>
      <c r="K566">
        <v>6</v>
      </c>
      <c r="L566">
        <v>36327.94</v>
      </c>
      <c r="M566">
        <v>217967.64</v>
      </c>
      <c r="N566">
        <f t="shared" si="25"/>
        <v>217967.64</v>
      </c>
      <c r="O566" t="str">
        <f t="shared" si="26"/>
        <v>Medium</v>
      </c>
    </row>
    <row r="567" spans="1:15" x14ac:dyDescent="0.25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tr">
        <f t="shared" si="24"/>
        <v>Senior</v>
      </c>
      <c r="G567" t="s">
        <v>16</v>
      </c>
      <c r="H567" t="s">
        <v>60</v>
      </c>
      <c r="I567" t="s">
        <v>36</v>
      </c>
      <c r="J567" t="s">
        <v>37</v>
      </c>
      <c r="K567">
        <v>10</v>
      </c>
      <c r="L567">
        <v>21547.89</v>
      </c>
      <c r="M567">
        <v>215478.9</v>
      </c>
      <c r="N567">
        <f t="shared" si="25"/>
        <v>215478.9</v>
      </c>
      <c r="O567" t="str">
        <f t="shared" si="26"/>
        <v>Medium</v>
      </c>
    </row>
    <row r="568" spans="1:15" x14ac:dyDescent="0.25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tr">
        <f t="shared" si="24"/>
        <v>Middle Age</v>
      </c>
      <c r="G568" t="s">
        <v>16</v>
      </c>
      <c r="H568" t="s">
        <v>51</v>
      </c>
      <c r="I568" t="s">
        <v>25</v>
      </c>
      <c r="J568" t="s">
        <v>26</v>
      </c>
      <c r="K568">
        <v>8</v>
      </c>
      <c r="L568">
        <v>32749.759999999998</v>
      </c>
      <c r="M568">
        <v>261998.07999999999</v>
      </c>
      <c r="N568">
        <f t="shared" si="25"/>
        <v>261998.07999999999</v>
      </c>
      <c r="O568" t="str">
        <f t="shared" si="26"/>
        <v>Medium</v>
      </c>
    </row>
    <row r="569" spans="1:15" x14ac:dyDescent="0.25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tr">
        <f t="shared" si="24"/>
        <v>Young Adult</v>
      </c>
      <c r="G569" t="s">
        <v>16</v>
      </c>
      <c r="H569" t="s">
        <v>35</v>
      </c>
      <c r="I569" t="s">
        <v>76</v>
      </c>
      <c r="J569" t="s">
        <v>77</v>
      </c>
      <c r="K569">
        <v>10</v>
      </c>
      <c r="L569">
        <v>43251.3</v>
      </c>
      <c r="M569">
        <v>432513</v>
      </c>
      <c r="N569">
        <f t="shared" si="25"/>
        <v>432513</v>
      </c>
      <c r="O569" t="str">
        <f t="shared" si="26"/>
        <v>High</v>
      </c>
    </row>
    <row r="570" spans="1:15" x14ac:dyDescent="0.25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tr">
        <f t="shared" si="24"/>
        <v>Adult</v>
      </c>
      <c r="G570" t="s">
        <v>16</v>
      </c>
      <c r="H570" t="s">
        <v>46</v>
      </c>
      <c r="I570" t="s">
        <v>76</v>
      </c>
      <c r="J570" t="s">
        <v>77</v>
      </c>
      <c r="K570">
        <v>3</v>
      </c>
      <c r="L570">
        <v>47748.45</v>
      </c>
      <c r="M570">
        <v>143245.35</v>
      </c>
      <c r="N570">
        <f t="shared" si="25"/>
        <v>143245.34999999998</v>
      </c>
      <c r="O570" t="str">
        <f t="shared" si="26"/>
        <v>Low</v>
      </c>
    </row>
    <row r="571" spans="1:15" x14ac:dyDescent="0.25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tr">
        <f t="shared" si="24"/>
        <v>Middle Age</v>
      </c>
      <c r="G571" t="s">
        <v>16</v>
      </c>
      <c r="H571" t="s">
        <v>51</v>
      </c>
      <c r="I571" t="s">
        <v>25</v>
      </c>
      <c r="J571" t="s">
        <v>26</v>
      </c>
      <c r="K571">
        <v>4</v>
      </c>
      <c r="L571">
        <v>16276.94</v>
      </c>
      <c r="M571">
        <v>65107.76</v>
      </c>
      <c r="N571">
        <f t="shared" si="25"/>
        <v>65107.76</v>
      </c>
      <c r="O571" t="str">
        <f t="shared" si="26"/>
        <v>Low</v>
      </c>
    </row>
    <row r="572" spans="1:15" x14ac:dyDescent="0.25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tr">
        <f t="shared" si="24"/>
        <v>Middle Age</v>
      </c>
      <c r="G572" t="s">
        <v>16</v>
      </c>
      <c r="H572" t="s">
        <v>69</v>
      </c>
      <c r="I572" t="s">
        <v>18</v>
      </c>
      <c r="J572" t="s">
        <v>19</v>
      </c>
      <c r="K572">
        <v>9</v>
      </c>
      <c r="L572">
        <v>11122.7</v>
      </c>
      <c r="M572">
        <v>100104.3</v>
      </c>
      <c r="N572">
        <f t="shared" si="25"/>
        <v>100104.3</v>
      </c>
      <c r="O572" t="str">
        <f t="shared" si="26"/>
        <v>Low</v>
      </c>
    </row>
    <row r="573" spans="1:15" x14ac:dyDescent="0.25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tr">
        <f t="shared" si="24"/>
        <v>Senior</v>
      </c>
      <c r="G573" t="s">
        <v>24</v>
      </c>
      <c r="H573" t="s">
        <v>51</v>
      </c>
      <c r="I573" t="s">
        <v>70</v>
      </c>
      <c r="J573" t="s">
        <v>71</v>
      </c>
      <c r="K573">
        <v>2</v>
      </c>
      <c r="L573">
        <v>39005.269999999997</v>
      </c>
      <c r="M573">
        <v>78010.539999999994</v>
      </c>
      <c r="N573">
        <f t="shared" si="25"/>
        <v>78010.539999999994</v>
      </c>
      <c r="O573" t="str">
        <f t="shared" si="26"/>
        <v>Low</v>
      </c>
    </row>
    <row r="574" spans="1:15" x14ac:dyDescent="0.25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tr">
        <f t="shared" si="24"/>
        <v>Adult</v>
      </c>
      <c r="G574" t="s">
        <v>24</v>
      </c>
      <c r="H574" t="s">
        <v>51</v>
      </c>
      <c r="I574" t="s">
        <v>36</v>
      </c>
      <c r="J574" t="s">
        <v>37</v>
      </c>
      <c r="K574">
        <v>6</v>
      </c>
      <c r="L574">
        <v>16346.82</v>
      </c>
      <c r="M574">
        <v>98080.92</v>
      </c>
      <c r="N574">
        <f t="shared" si="25"/>
        <v>98080.92</v>
      </c>
      <c r="O574" t="str">
        <f t="shared" si="26"/>
        <v>Low</v>
      </c>
    </row>
    <row r="575" spans="1:15" x14ac:dyDescent="0.25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tr">
        <f t="shared" si="24"/>
        <v>Adult</v>
      </c>
      <c r="G575" t="s">
        <v>16</v>
      </c>
      <c r="H575" t="s">
        <v>115</v>
      </c>
      <c r="I575" t="s">
        <v>36</v>
      </c>
      <c r="J575" t="s">
        <v>37</v>
      </c>
      <c r="K575">
        <v>4</v>
      </c>
      <c r="L575">
        <v>3859.9</v>
      </c>
      <c r="M575">
        <v>15439.6</v>
      </c>
      <c r="N575">
        <f t="shared" si="25"/>
        <v>15439.6</v>
      </c>
      <c r="O575" t="str">
        <f t="shared" si="26"/>
        <v>Low</v>
      </c>
    </row>
    <row r="576" spans="1:15" x14ac:dyDescent="0.25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tr">
        <f t="shared" si="24"/>
        <v>Adult</v>
      </c>
      <c r="G576" t="s">
        <v>16</v>
      </c>
      <c r="H576" t="s">
        <v>35</v>
      </c>
      <c r="I576" t="s">
        <v>47</v>
      </c>
      <c r="J576" t="s">
        <v>37</v>
      </c>
      <c r="K576">
        <v>6</v>
      </c>
      <c r="L576">
        <v>49058.94</v>
      </c>
      <c r="M576">
        <v>294353.64</v>
      </c>
      <c r="N576">
        <f t="shared" si="25"/>
        <v>294353.64</v>
      </c>
      <c r="O576" t="str">
        <f t="shared" si="26"/>
        <v>Medium</v>
      </c>
    </row>
    <row r="577" spans="1:15" x14ac:dyDescent="0.25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tr">
        <f t="shared" si="24"/>
        <v>Young Adult</v>
      </c>
      <c r="G577" t="s">
        <v>16</v>
      </c>
      <c r="H577" t="s">
        <v>51</v>
      </c>
      <c r="I577" t="s">
        <v>36</v>
      </c>
      <c r="J577" t="s">
        <v>37</v>
      </c>
      <c r="K577">
        <v>7</v>
      </c>
      <c r="L577">
        <v>413.2</v>
      </c>
      <c r="M577">
        <v>2892.4</v>
      </c>
      <c r="N577">
        <f t="shared" si="25"/>
        <v>2892.4</v>
      </c>
      <c r="O577" t="str">
        <f t="shared" si="26"/>
        <v>Low</v>
      </c>
    </row>
    <row r="578" spans="1:15" x14ac:dyDescent="0.25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tr">
        <f t="shared" si="24"/>
        <v>Adult</v>
      </c>
      <c r="G578" t="s">
        <v>16</v>
      </c>
      <c r="H578" t="s">
        <v>51</v>
      </c>
      <c r="I578" t="s">
        <v>70</v>
      </c>
      <c r="J578" t="s">
        <v>71</v>
      </c>
      <c r="K578">
        <v>5</v>
      </c>
      <c r="L578">
        <v>21555.119999999999</v>
      </c>
      <c r="M578">
        <v>107775.6</v>
      </c>
      <c r="N578">
        <f t="shared" si="25"/>
        <v>107775.59999999999</v>
      </c>
      <c r="O578" t="str">
        <f t="shared" si="26"/>
        <v>Low</v>
      </c>
    </row>
    <row r="579" spans="1:15" x14ac:dyDescent="0.25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tr">
        <f t="shared" ref="F579:F642" si="27">IF(E579&lt;=25,"Young Adult",IF(E579&lt;=40,"Adult",IF(E579&lt;=55,"Middle Age","Senior")))</f>
        <v>Adult</v>
      </c>
      <c r="G579" t="s">
        <v>24</v>
      </c>
      <c r="H579" t="s">
        <v>69</v>
      </c>
      <c r="I579" t="s">
        <v>76</v>
      </c>
      <c r="J579" t="s">
        <v>77</v>
      </c>
      <c r="K579">
        <v>5</v>
      </c>
      <c r="L579">
        <v>37214.58</v>
      </c>
      <c r="M579">
        <v>186072.9</v>
      </c>
      <c r="N579">
        <f t="shared" ref="N579:N642" si="28">K579*L579</f>
        <v>186072.90000000002</v>
      </c>
      <c r="O579" t="str">
        <f t="shared" ref="O579:O642" si="29">IF(M579&lt;165000,"Low",IF(M579&lt;=330000,"Medium","High"))</f>
        <v>Medium</v>
      </c>
    </row>
    <row r="580" spans="1:15" x14ac:dyDescent="0.25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tr">
        <f t="shared" si="27"/>
        <v>Adult</v>
      </c>
      <c r="G580" t="s">
        <v>16</v>
      </c>
      <c r="H580" t="s">
        <v>51</v>
      </c>
      <c r="I580" t="s">
        <v>36</v>
      </c>
      <c r="J580" t="s">
        <v>37</v>
      </c>
      <c r="K580">
        <v>10</v>
      </c>
      <c r="L580">
        <v>21194.59</v>
      </c>
      <c r="M580">
        <v>211945.9</v>
      </c>
      <c r="N580">
        <f t="shared" si="28"/>
        <v>211945.9</v>
      </c>
      <c r="O580" t="str">
        <f t="shared" si="29"/>
        <v>Medium</v>
      </c>
    </row>
    <row r="581" spans="1:15" x14ac:dyDescent="0.25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tr">
        <f t="shared" si="27"/>
        <v>Middle Age</v>
      </c>
      <c r="G581" t="s">
        <v>16</v>
      </c>
      <c r="H581" t="s">
        <v>35</v>
      </c>
      <c r="I581" t="s">
        <v>70</v>
      </c>
      <c r="J581" t="s">
        <v>71</v>
      </c>
      <c r="K581">
        <v>8</v>
      </c>
      <c r="L581">
        <v>44971.9</v>
      </c>
      <c r="M581">
        <v>359775.2</v>
      </c>
      <c r="N581">
        <f t="shared" si="28"/>
        <v>359775.2</v>
      </c>
      <c r="O581" t="str">
        <f t="shared" si="29"/>
        <v>High</v>
      </c>
    </row>
    <row r="582" spans="1:15" x14ac:dyDescent="0.25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tr">
        <f t="shared" si="27"/>
        <v>Adult</v>
      </c>
      <c r="G582" t="s">
        <v>24</v>
      </c>
      <c r="H582" t="s">
        <v>115</v>
      </c>
      <c r="I582" t="s">
        <v>70</v>
      </c>
      <c r="J582" t="s">
        <v>71</v>
      </c>
      <c r="K582">
        <v>4</v>
      </c>
      <c r="L582">
        <v>26046.5</v>
      </c>
      <c r="M582">
        <v>104186</v>
      </c>
      <c r="N582">
        <f t="shared" si="28"/>
        <v>104186</v>
      </c>
      <c r="O582" t="str">
        <f t="shared" si="29"/>
        <v>Low</v>
      </c>
    </row>
    <row r="583" spans="1:15" x14ac:dyDescent="0.25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tr">
        <f t="shared" si="27"/>
        <v>Senior</v>
      </c>
      <c r="G583" t="s">
        <v>24</v>
      </c>
      <c r="H583" t="s">
        <v>69</v>
      </c>
      <c r="I583" t="s">
        <v>36</v>
      </c>
      <c r="J583" t="s">
        <v>37</v>
      </c>
      <c r="K583">
        <v>3</v>
      </c>
      <c r="L583">
        <v>43567.37</v>
      </c>
      <c r="M583">
        <v>130702.11</v>
      </c>
      <c r="N583">
        <f t="shared" si="28"/>
        <v>130702.11000000002</v>
      </c>
      <c r="O583" t="str">
        <f t="shared" si="29"/>
        <v>Low</v>
      </c>
    </row>
    <row r="584" spans="1:15" x14ac:dyDescent="0.25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tr">
        <f t="shared" si="27"/>
        <v>Adult</v>
      </c>
      <c r="G584" t="s">
        <v>24</v>
      </c>
      <c r="H584" t="s">
        <v>60</v>
      </c>
      <c r="I584" t="s">
        <v>25</v>
      </c>
      <c r="J584" t="s">
        <v>26</v>
      </c>
      <c r="K584">
        <v>5</v>
      </c>
      <c r="L584">
        <v>19565.23</v>
      </c>
      <c r="M584">
        <v>97826.15</v>
      </c>
      <c r="N584">
        <f t="shared" si="28"/>
        <v>97826.15</v>
      </c>
      <c r="O584" t="str">
        <f t="shared" si="29"/>
        <v>Low</v>
      </c>
    </row>
    <row r="585" spans="1:15" x14ac:dyDescent="0.25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tr">
        <f t="shared" si="27"/>
        <v>Senior</v>
      </c>
      <c r="G585" t="s">
        <v>16</v>
      </c>
      <c r="H585" t="s">
        <v>51</v>
      </c>
      <c r="I585" t="s">
        <v>70</v>
      </c>
      <c r="J585" t="s">
        <v>71</v>
      </c>
      <c r="K585">
        <v>5</v>
      </c>
      <c r="L585">
        <v>7642.55</v>
      </c>
      <c r="M585">
        <v>38212.75</v>
      </c>
      <c r="N585">
        <f t="shared" si="28"/>
        <v>38212.75</v>
      </c>
      <c r="O585" t="str">
        <f t="shared" si="29"/>
        <v>Low</v>
      </c>
    </row>
    <row r="586" spans="1:15" x14ac:dyDescent="0.25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tr">
        <f t="shared" si="27"/>
        <v>Young Adult</v>
      </c>
      <c r="G586" t="s">
        <v>16</v>
      </c>
      <c r="H586" t="s">
        <v>102</v>
      </c>
      <c r="I586" t="s">
        <v>36</v>
      </c>
      <c r="J586" t="s">
        <v>37</v>
      </c>
      <c r="K586">
        <v>7</v>
      </c>
      <c r="L586">
        <v>22060</v>
      </c>
      <c r="M586">
        <v>154420</v>
      </c>
      <c r="N586">
        <f t="shared" si="28"/>
        <v>154420</v>
      </c>
      <c r="O586" t="str">
        <f t="shared" si="29"/>
        <v>Low</v>
      </c>
    </row>
    <row r="587" spans="1:15" x14ac:dyDescent="0.25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tr">
        <f t="shared" si="27"/>
        <v>Young Adult</v>
      </c>
      <c r="G587" t="s">
        <v>16</v>
      </c>
      <c r="H587" t="s">
        <v>35</v>
      </c>
      <c r="I587" t="s">
        <v>47</v>
      </c>
      <c r="J587" t="s">
        <v>37</v>
      </c>
      <c r="K587">
        <v>2</v>
      </c>
      <c r="L587">
        <v>20074.3</v>
      </c>
      <c r="M587">
        <v>40148.6</v>
      </c>
      <c r="N587">
        <f t="shared" si="28"/>
        <v>40148.6</v>
      </c>
      <c r="O587" t="str">
        <f t="shared" si="29"/>
        <v>Low</v>
      </c>
    </row>
    <row r="588" spans="1:15" x14ac:dyDescent="0.25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tr">
        <f t="shared" si="27"/>
        <v>Middle Age</v>
      </c>
      <c r="G588" t="s">
        <v>24</v>
      </c>
      <c r="H588" t="s">
        <v>46</v>
      </c>
      <c r="I588" t="s">
        <v>25</v>
      </c>
      <c r="J588" t="s">
        <v>26</v>
      </c>
      <c r="K588">
        <v>2</v>
      </c>
      <c r="L588">
        <v>5442.06</v>
      </c>
      <c r="M588">
        <v>10884.12</v>
      </c>
      <c r="N588">
        <f t="shared" si="28"/>
        <v>10884.12</v>
      </c>
      <c r="O588" t="str">
        <f t="shared" si="29"/>
        <v>Low</v>
      </c>
    </row>
    <row r="589" spans="1:15" x14ac:dyDescent="0.25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tr">
        <f t="shared" si="27"/>
        <v>Middle Age</v>
      </c>
      <c r="G589" t="s">
        <v>16</v>
      </c>
      <c r="H589" t="s">
        <v>115</v>
      </c>
      <c r="I589" t="s">
        <v>36</v>
      </c>
      <c r="J589" t="s">
        <v>37</v>
      </c>
      <c r="K589">
        <v>6</v>
      </c>
      <c r="L589">
        <v>38159.29</v>
      </c>
      <c r="M589">
        <v>228955.74</v>
      </c>
      <c r="N589">
        <f t="shared" si="28"/>
        <v>228955.74</v>
      </c>
      <c r="O589" t="str">
        <f t="shared" si="29"/>
        <v>Medium</v>
      </c>
    </row>
    <row r="590" spans="1:15" x14ac:dyDescent="0.25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tr">
        <f t="shared" si="27"/>
        <v>Middle Age</v>
      </c>
      <c r="G590" t="s">
        <v>16</v>
      </c>
      <c r="H590" t="s">
        <v>60</v>
      </c>
      <c r="I590" t="s">
        <v>47</v>
      </c>
      <c r="J590" t="s">
        <v>37</v>
      </c>
      <c r="K590">
        <v>1</v>
      </c>
      <c r="L590">
        <v>18229</v>
      </c>
      <c r="M590">
        <v>18229</v>
      </c>
      <c r="N590">
        <f t="shared" si="28"/>
        <v>18229</v>
      </c>
      <c r="O590" t="str">
        <f t="shared" si="29"/>
        <v>Low</v>
      </c>
    </row>
    <row r="591" spans="1:15" x14ac:dyDescent="0.25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tr">
        <f t="shared" si="27"/>
        <v>Senior</v>
      </c>
      <c r="G591" t="s">
        <v>24</v>
      </c>
      <c r="H591" t="s">
        <v>69</v>
      </c>
      <c r="I591" t="s">
        <v>25</v>
      </c>
      <c r="J591" t="s">
        <v>26</v>
      </c>
      <c r="K591">
        <v>2</v>
      </c>
      <c r="L591">
        <v>14656.73</v>
      </c>
      <c r="M591">
        <v>29313.46</v>
      </c>
      <c r="N591">
        <f t="shared" si="28"/>
        <v>29313.46</v>
      </c>
      <c r="O591" t="str">
        <f t="shared" si="29"/>
        <v>Low</v>
      </c>
    </row>
    <row r="592" spans="1:15" x14ac:dyDescent="0.25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tr">
        <f t="shared" si="27"/>
        <v>Middle Age</v>
      </c>
      <c r="G592" t="s">
        <v>24</v>
      </c>
      <c r="H592" t="s">
        <v>60</v>
      </c>
      <c r="I592" t="s">
        <v>36</v>
      </c>
      <c r="J592" t="s">
        <v>37</v>
      </c>
      <c r="K592">
        <v>3</v>
      </c>
      <c r="L592">
        <v>1286.3599999999999</v>
      </c>
      <c r="M592">
        <v>3859.08</v>
      </c>
      <c r="N592">
        <f t="shared" si="28"/>
        <v>3859.08</v>
      </c>
      <c r="O592" t="str">
        <f t="shared" si="29"/>
        <v>Low</v>
      </c>
    </row>
    <row r="593" spans="1:15" x14ac:dyDescent="0.25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tr">
        <f t="shared" si="27"/>
        <v>Middle Age</v>
      </c>
      <c r="G593" t="s">
        <v>16</v>
      </c>
      <c r="H593" t="s">
        <v>35</v>
      </c>
      <c r="I593" t="s">
        <v>47</v>
      </c>
      <c r="J593" t="s">
        <v>37</v>
      </c>
      <c r="K593">
        <v>2</v>
      </c>
      <c r="L593">
        <v>11893.8</v>
      </c>
      <c r="M593">
        <v>23787.599999999999</v>
      </c>
      <c r="N593">
        <f t="shared" si="28"/>
        <v>23787.599999999999</v>
      </c>
      <c r="O593" t="str">
        <f t="shared" si="29"/>
        <v>Low</v>
      </c>
    </row>
    <row r="594" spans="1:15" x14ac:dyDescent="0.25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tr">
        <f t="shared" si="27"/>
        <v>Middle Age</v>
      </c>
      <c r="G594" t="s">
        <v>16</v>
      </c>
      <c r="H594" t="s">
        <v>60</v>
      </c>
      <c r="I594" t="s">
        <v>70</v>
      </c>
      <c r="J594" t="s">
        <v>71</v>
      </c>
      <c r="K594">
        <v>2</v>
      </c>
      <c r="L594">
        <v>11967.47</v>
      </c>
      <c r="M594">
        <v>23934.94</v>
      </c>
      <c r="N594">
        <f t="shared" si="28"/>
        <v>23934.94</v>
      </c>
      <c r="O594" t="str">
        <f t="shared" si="29"/>
        <v>Low</v>
      </c>
    </row>
    <row r="595" spans="1:15" x14ac:dyDescent="0.25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tr">
        <f t="shared" si="27"/>
        <v>Young Adult</v>
      </c>
      <c r="G595" t="s">
        <v>16</v>
      </c>
      <c r="H595" t="s">
        <v>115</v>
      </c>
      <c r="I595" t="s">
        <v>76</v>
      </c>
      <c r="J595" t="s">
        <v>77</v>
      </c>
      <c r="K595">
        <v>4</v>
      </c>
      <c r="L595">
        <v>35411.730000000003</v>
      </c>
      <c r="M595">
        <v>141646.92000000001</v>
      </c>
      <c r="N595">
        <f t="shared" si="28"/>
        <v>141646.92000000001</v>
      </c>
      <c r="O595" t="str">
        <f t="shared" si="29"/>
        <v>Low</v>
      </c>
    </row>
    <row r="596" spans="1:15" x14ac:dyDescent="0.25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tr">
        <f t="shared" si="27"/>
        <v>Adult</v>
      </c>
      <c r="G596" t="s">
        <v>16</v>
      </c>
      <c r="H596" t="s">
        <v>69</v>
      </c>
      <c r="I596" t="s">
        <v>18</v>
      </c>
      <c r="J596" t="s">
        <v>19</v>
      </c>
      <c r="K596">
        <v>1</v>
      </c>
      <c r="L596">
        <v>15515.24</v>
      </c>
      <c r="M596">
        <v>15515.24</v>
      </c>
      <c r="N596">
        <f t="shared" si="28"/>
        <v>15515.24</v>
      </c>
      <c r="O596" t="str">
        <f t="shared" si="29"/>
        <v>Low</v>
      </c>
    </row>
    <row r="597" spans="1:15" x14ac:dyDescent="0.25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tr">
        <f t="shared" si="27"/>
        <v>Middle Age</v>
      </c>
      <c r="G597" t="s">
        <v>24</v>
      </c>
      <c r="H597" t="s">
        <v>60</v>
      </c>
      <c r="I597" t="s">
        <v>36</v>
      </c>
      <c r="J597" t="s">
        <v>37</v>
      </c>
      <c r="K597">
        <v>9</v>
      </c>
      <c r="L597">
        <v>697.87</v>
      </c>
      <c r="M597">
        <v>6280.83</v>
      </c>
      <c r="N597">
        <f t="shared" si="28"/>
        <v>6280.83</v>
      </c>
      <c r="O597" t="str">
        <f t="shared" si="29"/>
        <v>Low</v>
      </c>
    </row>
    <row r="598" spans="1:15" x14ac:dyDescent="0.25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tr">
        <f t="shared" si="27"/>
        <v>Middle Age</v>
      </c>
      <c r="G598" t="s">
        <v>16</v>
      </c>
      <c r="H598" t="s">
        <v>69</v>
      </c>
      <c r="I598" t="s">
        <v>70</v>
      </c>
      <c r="J598" t="s">
        <v>71</v>
      </c>
      <c r="K598">
        <v>10</v>
      </c>
      <c r="L598">
        <v>20857.23</v>
      </c>
      <c r="M598">
        <v>208572.3</v>
      </c>
      <c r="N598">
        <f t="shared" si="28"/>
        <v>208572.3</v>
      </c>
      <c r="O598" t="str">
        <f t="shared" si="29"/>
        <v>Medium</v>
      </c>
    </row>
    <row r="599" spans="1:15" x14ac:dyDescent="0.25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tr">
        <f t="shared" si="27"/>
        <v>Young Adult</v>
      </c>
      <c r="G599" t="s">
        <v>16</v>
      </c>
      <c r="H599" t="s">
        <v>35</v>
      </c>
      <c r="I599" t="s">
        <v>36</v>
      </c>
      <c r="J599" t="s">
        <v>37</v>
      </c>
      <c r="K599">
        <v>8</v>
      </c>
      <c r="L599">
        <v>3595.82</v>
      </c>
      <c r="M599">
        <v>28766.560000000001</v>
      </c>
      <c r="N599">
        <f t="shared" si="28"/>
        <v>28766.560000000001</v>
      </c>
      <c r="O599" t="str">
        <f t="shared" si="29"/>
        <v>Low</v>
      </c>
    </row>
    <row r="600" spans="1:15" x14ac:dyDescent="0.25">
      <c r="A600" t="s">
        <v>222</v>
      </c>
      <c r="B600" t="s">
        <v>1846</v>
      </c>
      <c r="C600" t="s">
        <v>1847</v>
      </c>
      <c r="D600" t="s">
        <v>255</v>
      </c>
      <c r="E600">
        <v>41</v>
      </c>
      <c r="F600" t="str">
        <f t="shared" si="27"/>
        <v>Middle Age</v>
      </c>
      <c r="G600" t="s">
        <v>24</v>
      </c>
      <c r="I600" t="s">
        <v>47</v>
      </c>
      <c r="J600" t="s">
        <v>37</v>
      </c>
      <c r="K600">
        <v>7</v>
      </c>
      <c r="L600">
        <v>20144.84</v>
      </c>
      <c r="M600">
        <v>141013.88</v>
      </c>
      <c r="N600">
        <f t="shared" si="28"/>
        <v>141013.88</v>
      </c>
      <c r="O600" t="str">
        <f t="shared" si="29"/>
        <v>Low</v>
      </c>
    </row>
    <row r="601" spans="1:15" x14ac:dyDescent="0.25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tr">
        <f t="shared" si="27"/>
        <v>Senior</v>
      </c>
      <c r="G601" t="s">
        <v>16</v>
      </c>
      <c r="H601" t="s">
        <v>35</v>
      </c>
      <c r="I601" t="s">
        <v>70</v>
      </c>
      <c r="J601" t="s">
        <v>71</v>
      </c>
      <c r="K601">
        <v>5</v>
      </c>
      <c r="L601">
        <v>30620.75</v>
      </c>
      <c r="M601">
        <v>153103.75</v>
      </c>
      <c r="N601">
        <f t="shared" si="28"/>
        <v>153103.75</v>
      </c>
      <c r="O601" t="str">
        <f t="shared" si="29"/>
        <v>Low</v>
      </c>
    </row>
    <row r="602" spans="1:15" x14ac:dyDescent="0.25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tr">
        <f t="shared" si="27"/>
        <v>Middle Age</v>
      </c>
      <c r="G602" t="s">
        <v>24</v>
      </c>
      <c r="H602" t="s">
        <v>17</v>
      </c>
      <c r="I602" t="s">
        <v>47</v>
      </c>
      <c r="J602" t="s">
        <v>37</v>
      </c>
      <c r="K602">
        <v>9</v>
      </c>
      <c r="L602">
        <v>38955.26</v>
      </c>
      <c r="M602">
        <v>350597.34</v>
      </c>
      <c r="N602">
        <f t="shared" si="28"/>
        <v>350597.34</v>
      </c>
      <c r="O602" t="str">
        <f t="shared" si="29"/>
        <v>High</v>
      </c>
    </row>
    <row r="603" spans="1:15" x14ac:dyDescent="0.25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tr">
        <f t="shared" si="27"/>
        <v>Adult</v>
      </c>
      <c r="G603" t="s">
        <v>24</v>
      </c>
      <c r="H603" t="s">
        <v>102</v>
      </c>
      <c r="I603" t="s">
        <v>47</v>
      </c>
      <c r="J603" t="s">
        <v>37</v>
      </c>
      <c r="K603">
        <v>2</v>
      </c>
      <c r="L603">
        <v>7534.68</v>
      </c>
      <c r="M603">
        <v>15069.36</v>
      </c>
      <c r="N603">
        <f t="shared" si="28"/>
        <v>15069.36</v>
      </c>
      <c r="O603" t="str">
        <f t="shared" si="29"/>
        <v>Low</v>
      </c>
    </row>
    <row r="604" spans="1:15" x14ac:dyDescent="0.25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tr">
        <f t="shared" si="27"/>
        <v>Adult</v>
      </c>
      <c r="G604" t="s">
        <v>16</v>
      </c>
      <c r="H604" t="s">
        <v>102</v>
      </c>
      <c r="I604" t="s">
        <v>47</v>
      </c>
      <c r="J604" t="s">
        <v>37</v>
      </c>
      <c r="K604">
        <v>4</v>
      </c>
      <c r="L604">
        <v>5789.5</v>
      </c>
      <c r="M604">
        <v>23158</v>
      </c>
      <c r="N604">
        <f t="shared" si="28"/>
        <v>23158</v>
      </c>
      <c r="O604" t="str">
        <f t="shared" si="29"/>
        <v>Low</v>
      </c>
    </row>
    <row r="605" spans="1:15" x14ac:dyDescent="0.25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tr">
        <f t="shared" si="27"/>
        <v>Senior</v>
      </c>
      <c r="G605" t="s">
        <v>16</v>
      </c>
      <c r="H605" t="s">
        <v>51</v>
      </c>
      <c r="I605" t="s">
        <v>25</v>
      </c>
      <c r="J605" t="s">
        <v>26</v>
      </c>
      <c r="K605">
        <v>8</v>
      </c>
      <c r="L605">
        <v>46278.59</v>
      </c>
      <c r="M605">
        <v>370228.72</v>
      </c>
      <c r="N605">
        <f t="shared" si="28"/>
        <v>370228.72</v>
      </c>
      <c r="O605" t="str">
        <f t="shared" si="29"/>
        <v>High</v>
      </c>
    </row>
    <row r="606" spans="1:15" x14ac:dyDescent="0.25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tr">
        <f t="shared" si="27"/>
        <v>Senior</v>
      </c>
      <c r="G606" t="s">
        <v>16</v>
      </c>
      <c r="H606" t="s">
        <v>35</v>
      </c>
      <c r="I606" t="s">
        <v>76</v>
      </c>
      <c r="J606" t="s">
        <v>77</v>
      </c>
      <c r="K606">
        <v>2</v>
      </c>
      <c r="L606">
        <v>14770.13</v>
      </c>
      <c r="M606">
        <v>29540.26</v>
      </c>
      <c r="N606">
        <f t="shared" si="28"/>
        <v>29540.26</v>
      </c>
      <c r="O606" t="str">
        <f t="shared" si="29"/>
        <v>Low</v>
      </c>
    </row>
    <row r="607" spans="1:15" x14ac:dyDescent="0.25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tr">
        <f t="shared" si="27"/>
        <v>Adult</v>
      </c>
      <c r="G607" t="s">
        <v>16</v>
      </c>
      <c r="H607" t="s">
        <v>60</v>
      </c>
      <c r="I607" t="s">
        <v>18</v>
      </c>
      <c r="J607" t="s">
        <v>19</v>
      </c>
      <c r="K607">
        <v>6</v>
      </c>
      <c r="L607">
        <v>45095.75</v>
      </c>
      <c r="M607">
        <v>270574.5</v>
      </c>
      <c r="N607">
        <f t="shared" si="28"/>
        <v>270574.5</v>
      </c>
      <c r="O607" t="str">
        <f t="shared" si="29"/>
        <v>Medium</v>
      </c>
    </row>
    <row r="608" spans="1:15" x14ac:dyDescent="0.25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tr">
        <f t="shared" si="27"/>
        <v>Adult</v>
      </c>
      <c r="G608" t="s">
        <v>16</v>
      </c>
      <c r="H608" t="s">
        <v>46</v>
      </c>
      <c r="I608" t="s">
        <v>18</v>
      </c>
      <c r="J608" t="s">
        <v>19</v>
      </c>
      <c r="K608">
        <v>8</v>
      </c>
      <c r="L608">
        <v>10393.69</v>
      </c>
      <c r="M608">
        <v>83149.52</v>
      </c>
      <c r="N608">
        <f t="shared" si="28"/>
        <v>83149.52</v>
      </c>
      <c r="O608" t="str">
        <f t="shared" si="29"/>
        <v>Low</v>
      </c>
    </row>
    <row r="609" spans="1:15" x14ac:dyDescent="0.25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tr">
        <f t="shared" si="27"/>
        <v>Young Adult</v>
      </c>
      <c r="G609" t="s">
        <v>16</v>
      </c>
      <c r="H609" t="s">
        <v>102</v>
      </c>
      <c r="I609" t="s">
        <v>18</v>
      </c>
      <c r="J609" t="s">
        <v>19</v>
      </c>
      <c r="K609">
        <v>4</v>
      </c>
      <c r="L609">
        <v>38952.78</v>
      </c>
      <c r="M609">
        <v>155811.12</v>
      </c>
      <c r="N609">
        <f t="shared" si="28"/>
        <v>155811.12</v>
      </c>
      <c r="O609" t="str">
        <f t="shared" si="29"/>
        <v>Low</v>
      </c>
    </row>
    <row r="610" spans="1:15" x14ac:dyDescent="0.25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tr">
        <f t="shared" si="27"/>
        <v>Middle Age</v>
      </c>
      <c r="G610" t="s">
        <v>24</v>
      </c>
      <c r="H610" t="s">
        <v>35</v>
      </c>
      <c r="I610" t="s">
        <v>47</v>
      </c>
      <c r="J610" t="s">
        <v>37</v>
      </c>
      <c r="K610">
        <v>5</v>
      </c>
      <c r="L610">
        <v>3414.17</v>
      </c>
      <c r="M610">
        <v>17070.849999999999</v>
      </c>
      <c r="N610">
        <f t="shared" si="28"/>
        <v>17070.849999999999</v>
      </c>
      <c r="O610" t="str">
        <f t="shared" si="29"/>
        <v>Low</v>
      </c>
    </row>
    <row r="611" spans="1:15" x14ac:dyDescent="0.25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tr">
        <f t="shared" si="27"/>
        <v>Adult</v>
      </c>
      <c r="G611" t="s">
        <v>16</v>
      </c>
      <c r="H611" t="s">
        <v>69</v>
      </c>
      <c r="I611" t="s">
        <v>47</v>
      </c>
      <c r="J611" t="s">
        <v>37</v>
      </c>
      <c r="K611">
        <v>7</v>
      </c>
      <c r="L611">
        <v>5129.0200000000004</v>
      </c>
      <c r="M611">
        <v>35903.14</v>
      </c>
      <c r="N611">
        <f t="shared" si="28"/>
        <v>35903.14</v>
      </c>
      <c r="O611" t="str">
        <f t="shared" si="29"/>
        <v>Low</v>
      </c>
    </row>
    <row r="612" spans="1:15" x14ac:dyDescent="0.25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tr">
        <f t="shared" si="27"/>
        <v>Adult</v>
      </c>
      <c r="G612" t="s">
        <v>16</v>
      </c>
      <c r="H612" t="s">
        <v>35</v>
      </c>
      <c r="I612" t="s">
        <v>36</v>
      </c>
      <c r="J612" t="s">
        <v>37</v>
      </c>
      <c r="K612">
        <v>3</v>
      </c>
      <c r="L612">
        <v>15846.45</v>
      </c>
      <c r="M612">
        <v>47539.35</v>
      </c>
      <c r="N612">
        <f t="shared" si="28"/>
        <v>47539.350000000006</v>
      </c>
      <c r="O612" t="str">
        <f t="shared" si="29"/>
        <v>Low</v>
      </c>
    </row>
    <row r="613" spans="1:15" x14ac:dyDescent="0.25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tr">
        <f t="shared" si="27"/>
        <v>Young Adult</v>
      </c>
      <c r="G613" t="s">
        <v>24</v>
      </c>
      <c r="H613" t="s">
        <v>60</v>
      </c>
      <c r="I613" t="s">
        <v>25</v>
      </c>
      <c r="J613" t="s">
        <v>26</v>
      </c>
      <c r="K613">
        <v>4</v>
      </c>
      <c r="L613">
        <v>27448.01</v>
      </c>
      <c r="M613">
        <v>109792.04</v>
      </c>
      <c r="N613">
        <f t="shared" si="28"/>
        <v>109792.04</v>
      </c>
      <c r="O613" t="str">
        <f t="shared" si="29"/>
        <v>Low</v>
      </c>
    </row>
    <row r="614" spans="1:15" x14ac:dyDescent="0.25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tr">
        <f t="shared" si="27"/>
        <v>Adult</v>
      </c>
      <c r="G614" t="s">
        <v>16</v>
      </c>
      <c r="H614" t="s">
        <v>69</v>
      </c>
      <c r="I614" t="s">
        <v>25</v>
      </c>
      <c r="J614" t="s">
        <v>26</v>
      </c>
      <c r="K614">
        <v>4</v>
      </c>
      <c r="L614">
        <v>5518.35</v>
      </c>
      <c r="M614">
        <v>22073.4</v>
      </c>
      <c r="N614">
        <f t="shared" si="28"/>
        <v>22073.4</v>
      </c>
      <c r="O614" t="str">
        <f t="shared" si="29"/>
        <v>Low</v>
      </c>
    </row>
    <row r="615" spans="1:15" x14ac:dyDescent="0.25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tr">
        <f t="shared" si="27"/>
        <v>Adult</v>
      </c>
      <c r="G615" t="s">
        <v>16</v>
      </c>
      <c r="H615" t="s">
        <v>69</v>
      </c>
      <c r="I615" t="s">
        <v>25</v>
      </c>
      <c r="J615" t="s">
        <v>26</v>
      </c>
      <c r="K615">
        <v>9</v>
      </c>
      <c r="L615">
        <v>39988.019999999997</v>
      </c>
      <c r="M615">
        <v>359892.18</v>
      </c>
      <c r="N615">
        <f t="shared" si="28"/>
        <v>359892.18</v>
      </c>
      <c r="O615" t="str">
        <f t="shared" si="29"/>
        <v>High</v>
      </c>
    </row>
    <row r="616" spans="1:15" x14ac:dyDescent="0.25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tr">
        <f t="shared" si="27"/>
        <v>Adult</v>
      </c>
      <c r="G616" t="s">
        <v>24</v>
      </c>
      <c r="H616" t="s">
        <v>17</v>
      </c>
      <c r="I616" t="s">
        <v>70</v>
      </c>
      <c r="J616" t="s">
        <v>71</v>
      </c>
      <c r="K616">
        <v>3</v>
      </c>
      <c r="L616">
        <v>23079.96</v>
      </c>
      <c r="M616">
        <v>69239.88</v>
      </c>
      <c r="N616">
        <f t="shared" si="28"/>
        <v>69239.88</v>
      </c>
      <c r="O616" t="str">
        <f t="shared" si="29"/>
        <v>Low</v>
      </c>
    </row>
    <row r="617" spans="1:15" x14ac:dyDescent="0.25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tr">
        <f t="shared" si="27"/>
        <v>Middle Age</v>
      </c>
      <c r="G617" t="s">
        <v>16</v>
      </c>
      <c r="H617" t="s">
        <v>35</v>
      </c>
      <c r="I617" t="s">
        <v>25</v>
      </c>
      <c r="J617" t="s">
        <v>26</v>
      </c>
      <c r="K617">
        <v>9</v>
      </c>
      <c r="L617">
        <v>14044.67</v>
      </c>
      <c r="M617">
        <v>126402.03</v>
      </c>
      <c r="N617">
        <f t="shared" si="28"/>
        <v>126402.03</v>
      </c>
      <c r="O617" t="str">
        <f t="shared" si="29"/>
        <v>Low</v>
      </c>
    </row>
    <row r="618" spans="1:15" x14ac:dyDescent="0.25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tr">
        <f t="shared" si="27"/>
        <v>Adult</v>
      </c>
      <c r="G618" t="s">
        <v>16</v>
      </c>
      <c r="H618" t="s">
        <v>115</v>
      </c>
      <c r="I618" t="s">
        <v>70</v>
      </c>
      <c r="J618" t="s">
        <v>71</v>
      </c>
      <c r="K618">
        <v>2</v>
      </c>
      <c r="L618">
        <v>43693.36</v>
      </c>
      <c r="M618">
        <v>87386.72</v>
      </c>
      <c r="N618">
        <f t="shared" si="28"/>
        <v>87386.72</v>
      </c>
      <c r="O618" t="str">
        <f t="shared" si="29"/>
        <v>Low</v>
      </c>
    </row>
    <row r="619" spans="1:15" x14ac:dyDescent="0.25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tr">
        <f t="shared" si="27"/>
        <v>Middle Age</v>
      </c>
      <c r="G619" t="s">
        <v>24</v>
      </c>
      <c r="H619" t="s">
        <v>35</v>
      </c>
      <c r="I619" t="s">
        <v>18</v>
      </c>
      <c r="J619" t="s">
        <v>19</v>
      </c>
      <c r="K619">
        <v>2</v>
      </c>
      <c r="L619">
        <v>14181.47</v>
      </c>
      <c r="M619">
        <v>28362.94</v>
      </c>
      <c r="N619">
        <f t="shared" si="28"/>
        <v>28362.94</v>
      </c>
      <c r="O619" t="str">
        <f t="shared" si="29"/>
        <v>Low</v>
      </c>
    </row>
    <row r="620" spans="1:15" x14ac:dyDescent="0.25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tr">
        <f t="shared" si="27"/>
        <v>Middle Age</v>
      </c>
      <c r="G620" t="s">
        <v>16</v>
      </c>
      <c r="H620" t="s">
        <v>35</v>
      </c>
      <c r="I620" t="s">
        <v>70</v>
      </c>
      <c r="J620" t="s">
        <v>71</v>
      </c>
      <c r="K620">
        <v>4</v>
      </c>
      <c r="L620">
        <v>28783.13</v>
      </c>
      <c r="M620">
        <v>115132.52</v>
      </c>
      <c r="N620">
        <f t="shared" si="28"/>
        <v>115132.52</v>
      </c>
      <c r="O620" t="str">
        <f t="shared" si="29"/>
        <v>Low</v>
      </c>
    </row>
    <row r="621" spans="1:15" x14ac:dyDescent="0.25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tr">
        <f t="shared" si="27"/>
        <v>Senior</v>
      </c>
      <c r="G621" t="s">
        <v>16</v>
      </c>
      <c r="H621" t="s">
        <v>102</v>
      </c>
      <c r="I621" t="s">
        <v>76</v>
      </c>
      <c r="J621" t="s">
        <v>77</v>
      </c>
      <c r="K621">
        <v>2</v>
      </c>
      <c r="L621">
        <v>32432.65</v>
      </c>
      <c r="M621">
        <v>64865.3</v>
      </c>
      <c r="N621">
        <f t="shared" si="28"/>
        <v>64865.3</v>
      </c>
      <c r="O621" t="str">
        <f t="shared" si="29"/>
        <v>Low</v>
      </c>
    </row>
    <row r="622" spans="1:15" x14ac:dyDescent="0.25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tr">
        <f t="shared" si="27"/>
        <v>Senior</v>
      </c>
      <c r="G622" t="s">
        <v>24</v>
      </c>
      <c r="H622" t="s">
        <v>51</v>
      </c>
      <c r="I622" t="s">
        <v>47</v>
      </c>
      <c r="J622" t="s">
        <v>37</v>
      </c>
      <c r="K622">
        <v>4</v>
      </c>
      <c r="L622">
        <v>29976.58</v>
      </c>
      <c r="M622">
        <v>119906.32</v>
      </c>
      <c r="N622">
        <f t="shared" si="28"/>
        <v>119906.32</v>
      </c>
      <c r="O622" t="str">
        <f t="shared" si="29"/>
        <v>Low</v>
      </c>
    </row>
    <row r="623" spans="1:15" x14ac:dyDescent="0.25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tr">
        <f t="shared" si="27"/>
        <v>Senior</v>
      </c>
      <c r="G623" t="s">
        <v>16</v>
      </c>
      <c r="H623" t="s">
        <v>46</v>
      </c>
      <c r="I623" t="s">
        <v>70</v>
      </c>
      <c r="J623" t="s">
        <v>71</v>
      </c>
      <c r="K623">
        <v>7</v>
      </c>
      <c r="L623">
        <v>38029.64</v>
      </c>
      <c r="M623">
        <v>266207.48</v>
      </c>
      <c r="N623">
        <f t="shared" si="28"/>
        <v>266207.48</v>
      </c>
      <c r="O623" t="str">
        <f t="shared" si="29"/>
        <v>Medium</v>
      </c>
    </row>
    <row r="624" spans="1:15" x14ac:dyDescent="0.25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tr">
        <f t="shared" si="27"/>
        <v>Middle Age</v>
      </c>
      <c r="G624" t="s">
        <v>16</v>
      </c>
      <c r="H624" t="s">
        <v>46</v>
      </c>
      <c r="I624" t="s">
        <v>18</v>
      </c>
      <c r="J624" t="s">
        <v>19</v>
      </c>
      <c r="K624">
        <v>10</v>
      </c>
      <c r="L624">
        <v>48255.19</v>
      </c>
      <c r="M624">
        <v>482551.9</v>
      </c>
      <c r="N624">
        <f t="shared" si="28"/>
        <v>482551.9</v>
      </c>
      <c r="O624" t="str">
        <f t="shared" si="29"/>
        <v>High</v>
      </c>
    </row>
    <row r="625" spans="1:15" x14ac:dyDescent="0.25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tr">
        <f t="shared" si="27"/>
        <v>Middle Age</v>
      </c>
      <c r="G625" t="s">
        <v>24</v>
      </c>
      <c r="H625" t="s">
        <v>60</v>
      </c>
      <c r="I625" t="s">
        <v>47</v>
      </c>
      <c r="J625" t="s">
        <v>37</v>
      </c>
      <c r="K625">
        <v>9</v>
      </c>
      <c r="L625">
        <v>27971.17</v>
      </c>
      <c r="M625">
        <v>251740.53</v>
      </c>
      <c r="N625">
        <f t="shared" si="28"/>
        <v>251740.52999999997</v>
      </c>
      <c r="O625" t="str">
        <f t="shared" si="29"/>
        <v>Medium</v>
      </c>
    </row>
    <row r="626" spans="1:15" x14ac:dyDescent="0.25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tr">
        <f t="shared" si="27"/>
        <v>Adult</v>
      </c>
      <c r="G626" t="s">
        <v>24</v>
      </c>
      <c r="H626" t="s">
        <v>102</v>
      </c>
      <c r="I626" t="s">
        <v>18</v>
      </c>
      <c r="J626" t="s">
        <v>19</v>
      </c>
      <c r="K626">
        <v>9</v>
      </c>
      <c r="L626">
        <v>46756.46</v>
      </c>
      <c r="M626">
        <v>420808.14</v>
      </c>
      <c r="N626">
        <f t="shared" si="28"/>
        <v>420808.14</v>
      </c>
      <c r="O626" t="str">
        <f t="shared" si="29"/>
        <v>High</v>
      </c>
    </row>
    <row r="627" spans="1:15" x14ac:dyDescent="0.25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tr">
        <f t="shared" si="27"/>
        <v>Young Adult</v>
      </c>
      <c r="G627" t="s">
        <v>24</v>
      </c>
      <c r="H627" t="s">
        <v>46</v>
      </c>
      <c r="I627" t="s">
        <v>47</v>
      </c>
      <c r="J627" t="s">
        <v>37</v>
      </c>
      <c r="K627">
        <v>3</v>
      </c>
      <c r="L627">
        <v>47466.18</v>
      </c>
      <c r="M627">
        <v>142398.54</v>
      </c>
      <c r="N627">
        <f t="shared" si="28"/>
        <v>142398.54</v>
      </c>
      <c r="O627" t="str">
        <f t="shared" si="29"/>
        <v>Low</v>
      </c>
    </row>
    <row r="628" spans="1:15" x14ac:dyDescent="0.25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tr">
        <f t="shared" si="27"/>
        <v>Adult</v>
      </c>
      <c r="G628" t="s">
        <v>24</v>
      </c>
      <c r="H628" t="s">
        <v>69</v>
      </c>
      <c r="I628" t="s">
        <v>70</v>
      </c>
      <c r="J628" t="s">
        <v>71</v>
      </c>
      <c r="K628">
        <v>1</v>
      </c>
      <c r="L628">
        <v>33193.9</v>
      </c>
      <c r="M628">
        <v>33193.9</v>
      </c>
      <c r="N628">
        <f t="shared" si="28"/>
        <v>33193.9</v>
      </c>
      <c r="O628" t="str">
        <f t="shared" si="29"/>
        <v>Low</v>
      </c>
    </row>
    <row r="629" spans="1:15" x14ac:dyDescent="0.25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tr">
        <f t="shared" si="27"/>
        <v>Senior</v>
      </c>
      <c r="G629" t="s">
        <v>24</v>
      </c>
      <c r="H629" t="s">
        <v>60</v>
      </c>
      <c r="I629" t="s">
        <v>25</v>
      </c>
      <c r="J629" t="s">
        <v>26</v>
      </c>
      <c r="K629">
        <v>1</v>
      </c>
      <c r="L629">
        <v>46021.88</v>
      </c>
      <c r="M629">
        <v>46021.88</v>
      </c>
      <c r="N629">
        <f t="shared" si="28"/>
        <v>46021.88</v>
      </c>
      <c r="O629" t="str">
        <f t="shared" si="29"/>
        <v>Low</v>
      </c>
    </row>
    <row r="630" spans="1:15" x14ac:dyDescent="0.25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tr">
        <f t="shared" si="27"/>
        <v>Middle Age</v>
      </c>
      <c r="G630" t="s">
        <v>24</v>
      </c>
      <c r="H630" t="s">
        <v>17</v>
      </c>
      <c r="I630" t="s">
        <v>18</v>
      </c>
      <c r="J630" t="s">
        <v>19</v>
      </c>
      <c r="K630">
        <v>7</v>
      </c>
      <c r="L630">
        <v>45512.65</v>
      </c>
      <c r="M630">
        <v>318588.55</v>
      </c>
      <c r="N630">
        <f t="shared" si="28"/>
        <v>318588.55</v>
      </c>
      <c r="O630" t="str">
        <f t="shared" si="29"/>
        <v>Medium</v>
      </c>
    </row>
    <row r="631" spans="1:15" x14ac:dyDescent="0.25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tr">
        <f t="shared" si="27"/>
        <v>Adult</v>
      </c>
      <c r="G631" t="s">
        <v>24</v>
      </c>
      <c r="H631" t="s">
        <v>46</v>
      </c>
      <c r="I631" t="s">
        <v>76</v>
      </c>
      <c r="J631" t="s">
        <v>77</v>
      </c>
      <c r="K631">
        <v>9</v>
      </c>
      <c r="L631">
        <v>46924.58</v>
      </c>
      <c r="M631">
        <v>422321.22</v>
      </c>
      <c r="N631">
        <f t="shared" si="28"/>
        <v>422321.22000000003</v>
      </c>
      <c r="O631" t="str">
        <f t="shared" si="29"/>
        <v>High</v>
      </c>
    </row>
    <row r="632" spans="1:15" x14ac:dyDescent="0.25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tr">
        <f t="shared" si="27"/>
        <v>Young Adult</v>
      </c>
      <c r="G632" t="s">
        <v>24</v>
      </c>
      <c r="H632" t="s">
        <v>115</v>
      </c>
      <c r="I632" t="s">
        <v>70</v>
      </c>
      <c r="J632" t="s">
        <v>71</v>
      </c>
      <c r="K632">
        <v>3</v>
      </c>
      <c r="L632">
        <v>37343.19</v>
      </c>
      <c r="M632">
        <v>112029.57</v>
      </c>
      <c r="N632">
        <f t="shared" si="28"/>
        <v>112029.57</v>
      </c>
      <c r="O632" t="str">
        <f t="shared" si="29"/>
        <v>Low</v>
      </c>
    </row>
    <row r="633" spans="1:15" x14ac:dyDescent="0.25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tr">
        <f t="shared" si="27"/>
        <v>Adult</v>
      </c>
      <c r="G633" t="s">
        <v>16</v>
      </c>
      <c r="H633" t="s">
        <v>51</v>
      </c>
      <c r="I633" t="s">
        <v>76</v>
      </c>
      <c r="J633" t="s">
        <v>77</v>
      </c>
      <c r="K633">
        <v>10</v>
      </c>
      <c r="L633">
        <v>14175.96</v>
      </c>
      <c r="M633">
        <v>141759.6</v>
      </c>
      <c r="N633">
        <f t="shared" si="28"/>
        <v>141759.59999999998</v>
      </c>
      <c r="O633" t="str">
        <f t="shared" si="29"/>
        <v>Low</v>
      </c>
    </row>
    <row r="634" spans="1:15" x14ac:dyDescent="0.25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tr">
        <f t="shared" si="27"/>
        <v>Adult</v>
      </c>
      <c r="G634" t="s">
        <v>24</v>
      </c>
      <c r="H634" t="s">
        <v>115</v>
      </c>
      <c r="I634" t="s">
        <v>70</v>
      </c>
      <c r="J634" t="s">
        <v>71</v>
      </c>
      <c r="K634">
        <v>8</v>
      </c>
      <c r="L634">
        <v>7259.89</v>
      </c>
      <c r="M634">
        <v>58079.12</v>
      </c>
      <c r="N634">
        <f t="shared" si="28"/>
        <v>58079.12</v>
      </c>
      <c r="O634" t="str">
        <f t="shared" si="29"/>
        <v>Low</v>
      </c>
    </row>
    <row r="635" spans="1:15" x14ac:dyDescent="0.25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tr">
        <f t="shared" si="27"/>
        <v>Senior</v>
      </c>
      <c r="G635" t="s">
        <v>24</v>
      </c>
      <c r="H635" t="s">
        <v>51</v>
      </c>
      <c r="I635" t="s">
        <v>76</v>
      </c>
      <c r="J635" t="s">
        <v>77</v>
      </c>
      <c r="K635">
        <v>3</v>
      </c>
      <c r="L635">
        <v>257.27999999999997</v>
      </c>
      <c r="M635">
        <v>771.84</v>
      </c>
      <c r="N635">
        <f t="shared" si="28"/>
        <v>771.83999999999992</v>
      </c>
      <c r="O635" t="str">
        <f t="shared" si="29"/>
        <v>Low</v>
      </c>
    </row>
    <row r="636" spans="1:15" x14ac:dyDescent="0.25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tr">
        <f t="shared" si="27"/>
        <v>Young Adult</v>
      </c>
      <c r="G636" t="s">
        <v>24</v>
      </c>
      <c r="H636" t="s">
        <v>35</v>
      </c>
      <c r="I636" t="s">
        <v>70</v>
      </c>
      <c r="J636" t="s">
        <v>71</v>
      </c>
      <c r="K636">
        <v>4</v>
      </c>
      <c r="L636">
        <v>24291.82</v>
      </c>
      <c r="M636">
        <v>97167.28</v>
      </c>
      <c r="N636">
        <f t="shared" si="28"/>
        <v>97167.28</v>
      </c>
      <c r="O636" t="str">
        <f t="shared" si="29"/>
        <v>Low</v>
      </c>
    </row>
    <row r="637" spans="1:15" x14ac:dyDescent="0.25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tr">
        <f t="shared" si="27"/>
        <v>Adult</v>
      </c>
      <c r="G637" t="s">
        <v>24</v>
      </c>
      <c r="H637" t="s">
        <v>51</v>
      </c>
      <c r="I637" t="s">
        <v>18</v>
      </c>
      <c r="J637" t="s">
        <v>19</v>
      </c>
      <c r="K637">
        <v>2</v>
      </c>
      <c r="L637">
        <v>25919.18</v>
      </c>
      <c r="M637">
        <v>51838.36</v>
      </c>
      <c r="N637">
        <f t="shared" si="28"/>
        <v>51838.36</v>
      </c>
      <c r="O637" t="str">
        <f t="shared" si="29"/>
        <v>Low</v>
      </c>
    </row>
    <row r="638" spans="1:15" x14ac:dyDescent="0.25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tr">
        <f t="shared" si="27"/>
        <v>Young Adult</v>
      </c>
      <c r="G638" t="s">
        <v>24</v>
      </c>
      <c r="H638" t="s">
        <v>17</v>
      </c>
      <c r="I638" t="s">
        <v>18</v>
      </c>
      <c r="J638" t="s">
        <v>19</v>
      </c>
      <c r="K638">
        <v>4</v>
      </c>
      <c r="L638">
        <v>24382.42</v>
      </c>
      <c r="M638">
        <v>97529.68</v>
      </c>
      <c r="N638">
        <f t="shared" si="28"/>
        <v>97529.68</v>
      </c>
      <c r="O638" t="str">
        <f t="shared" si="29"/>
        <v>Low</v>
      </c>
    </row>
    <row r="639" spans="1:15" x14ac:dyDescent="0.25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tr">
        <f t="shared" si="27"/>
        <v>Middle Age</v>
      </c>
      <c r="G639" t="s">
        <v>16</v>
      </c>
      <c r="H639" t="s">
        <v>115</v>
      </c>
      <c r="I639" t="s">
        <v>70</v>
      </c>
      <c r="J639" t="s">
        <v>71</v>
      </c>
      <c r="K639">
        <v>1</v>
      </c>
      <c r="L639">
        <v>3971.35</v>
      </c>
      <c r="M639">
        <v>3971.35</v>
      </c>
      <c r="N639">
        <f t="shared" si="28"/>
        <v>3971.35</v>
      </c>
      <c r="O639" t="str">
        <f t="shared" si="29"/>
        <v>Low</v>
      </c>
    </row>
    <row r="640" spans="1:15" x14ac:dyDescent="0.25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tr">
        <f t="shared" si="27"/>
        <v>Young Adult</v>
      </c>
      <c r="G640" t="s">
        <v>24</v>
      </c>
      <c r="H640" t="s">
        <v>102</v>
      </c>
      <c r="I640" t="s">
        <v>47</v>
      </c>
      <c r="J640" t="s">
        <v>37</v>
      </c>
      <c r="K640">
        <v>5</v>
      </c>
      <c r="L640">
        <v>7739.33</v>
      </c>
      <c r="M640">
        <v>38696.65</v>
      </c>
      <c r="N640">
        <f t="shared" si="28"/>
        <v>38696.65</v>
      </c>
      <c r="O640" t="str">
        <f t="shared" si="29"/>
        <v>Low</v>
      </c>
    </row>
    <row r="641" spans="1:15" x14ac:dyDescent="0.25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tr">
        <f t="shared" si="27"/>
        <v>Adult</v>
      </c>
      <c r="G641" t="s">
        <v>16</v>
      </c>
      <c r="H641" t="s">
        <v>69</v>
      </c>
      <c r="I641" t="s">
        <v>25</v>
      </c>
      <c r="J641" t="s">
        <v>26</v>
      </c>
      <c r="K641">
        <v>1</v>
      </c>
      <c r="L641">
        <v>34302.92</v>
      </c>
      <c r="M641">
        <v>34302.92</v>
      </c>
      <c r="N641">
        <f t="shared" si="28"/>
        <v>34302.92</v>
      </c>
      <c r="O641" t="str">
        <f t="shared" si="29"/>
        <v>Low</v>
      </c>
    </row>
    <row r="642" spans="1:15" x14ac:dyDescent="0.25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tr">
        <f t="shared" si="27"/>
        <v>Adult</v>
      </c>
      <c r="G642" t="s">
        <v>16</v>
      </c>
      <c r="H642" t="s">
        <v>60</v>
      </c>
      <c r="I642" t="s">
        <v>18</v>
      </c>
      <c r="J642" t="s">
        <v>19</v>
      </c>
      <c r="K642">
        <v>1</v>
      </c>
      <c r="L642">
        <v>20626.25</v>
      </c>
      <c r="M642">
        <v>20626.25</v>
      </c>
      <c r="N642">
        <f t="shared" si="28"/>
        <v>20626.25</v>
      </c>
      <c r="O642" t="str">
        <f t="shared" si="29"/>
        <v>Low</v>
      </c>
    </row>
    <row r="643" spans="1:15" x14ac:dyDescent="0.25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tr">
        <f t="shared" ref="F643:F706" si="30">IF(E643&lt;=25,"Young Adult",IF(E643&lt;=40,"Adult",IF(E643&lt;=55,"Middle Age","Senior")))</f>
        <v>Senior</v>
      </c>
      <c r="G643" t="s">
        <v>16</v>
      </c>
      <c r="H643" t="s">
        <v>60</v>
      </c>
      <c r="I643" t="s">
        <v>47</v>
      </c>
      <c r="J643" t="s">
        <v>37</v>
      </c>
      <c r="K643">
        <v>9</v>
      </c>
      <c r="L643">
        <v>39545.61</v>
      </c>
      <c r="M643">
        <v>355910.49</v>
      </c>
      <c r="N643">
        <f t="shared" ref="N643:N706" si="31">K643*L643</f>
        <v>355910.49</v>
      </c>
      <c r="O643" t="str">
        <f t="shared" ref="O643:O706" si="32">IF(M643&lt;165000,"Low",IF(M643&lt;=330000,"Medium","High"))</f>
        <v>High</v>
      </c>
    </row>
    <row r="644" spans="1:15" x14ac:dyDescent="0.25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tr">
        <f t="shared" si="30"/>
        <v>Adult</v>
      </c>
      <c r="G644" t="s">
        <v>24</v>
      </c>
      <c r="H644" t="s">
        <v>35</v>
      </c>
      <c r="I644" t="s">
        <v>76</v>
      </c>
      <c r="J644" t="s">
        <v>77</v>
      </c>
      <c r="K644">
        <v>3</v>
      </c>
      <c r="L644">
        <v>23490.33</v>
      </c>
      <c r="M644">
        <v>70470.990000000005</v>
      </c>
      <c r="N644">
        <f t="shared" si="31"/>
        <v>70470.990000000005</v>
      </c>
      <c r="O644" t="str">
        <f t="shared" si="32"/>
        <v>Low</v>
      </c>
    </row>
    <row r="645" spans="1:15" x14ac:dyDescent="0.25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tr">
        <f t="shared" si="30"/>
        <v>Middle Age</v>
      </c>
      <c r="G645" t="s">
        <v>24</v>
      </c>
      <c r="H645" t="s">
        <v>51</v>
      </c>
      <c r="I645" t="s">
        <v>76</v>
      </c>
      <c r="J645" t="s">
        <v>77</v>
      </c>
      <c r="K645">
        <v>6</v>
      </c>
      <c r="L645">
        <v>22343.439999999999</v>
      </c>
      <c r="M645">
        <v>134060.64000000001</v>
      </c>
      <c r="N645">
        <f t="shared" si="31"/>
        <v>134060.63999999998</v>
      </c>
      <c r="O645" t="str">
        <f t="shared" si="32"/>
        <v>Low</v>
      </c>
    </row>
    <row r="646" spans="1:15" x14ac:dyDescent="0.25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tr">
        <f t="shared" si="30"/>
        <v>Middle Age</v>
      </c>
      <c r="G646" t="s">
        <v>16</v>
      </c>
      <c r="H646" t="s">
        <v>69</v>
      </c>
      <c r="I646" t="s">
        <v>70</v>
      </c>
      <c r="J646" t="s">
        <v>71</v>
      </c>
      <c r="K646">
        <v>5</v>
      </c>
      <c r="L646">
        <v>16279.37</v>
      </c>
      <c r="M646">
        <v>81396.850000000006</v>
      </c>
      <c r="N646">
        <f t="shared" si="31"/>
        <v>81396.850000000006</v>
      </c>
      <c r="O646" t="str">
        <f t="shared" si="32"/>
        <v>Low</v>
      </c>
    </row>
    <row r="647" spans="1:15" x14ac:dyDescent="0.25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tr">
        <f t="shared" si="30"/>
        <v>Middle Age</v>
      </c>
      <c r="G647" t="s">
        <v>24</v>
      </c>
      <c r="H647" t="s">
        <v>115</v>
      </c>
      <c r="I647" t="s">
        <v>47</v>
      </c>
      <c r="J647" t="s">
        <v>37</v>
      </c>
      <c r="K647">
        <v>4</v>
      </c>
      <c r="L647">
        <v>26566.32</v>
      </c>
      <c r="M647">
        <v>106265.28</v>
      </c>
      <c r="N647">
        <f t="shared" si="31"/>
        <v>106265.28</v>
      </c>
      <c r="O647" t="str">
        <f t="shared" si="32"/>
        <v>Low</v>
      </c>
    </row>
    <row r="648" spans="1:15" x14ac:dyDescent="0.25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tr">
        <f t="shared" si="30"/>
        <v>Senior</v>
      </c>
      <c r="G648" t="s">
        <v>16</v>
      </c>
      <c r="H648" t="s">
        <v>51</v>
      </c>
      <c r="I648" t="s">
        <v>36</v>
      </c>
      <c r="J648" t="s">
        <v>37</v>
      </c>
      <c r="K648">
        <v>6</v>
      </c>
      <c r="L648">
        <v>1867.81</v>
      </c>
      <c r="M648">
        <v>11206.86</v>
      </c>
      <c r="N648">
        <f t="shared" si="31"/>
        <v>11206.86</v>
      </c>
      <c r="O648" t="str">
        <f t="shared" si="32"/>
        <v>Low</v>
      </c>
    </row>
    <row r="649" spans="1:15" x14ac:dyDescent="0.25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tr">
        <f t="shared" si="30"/>
        <v>Middle Age</v>
      </c>
      <c r="G649" t="s">
        <v>16</v>
      </c>
      <c r="H649" t="s">
        <v>69</v>
      </c>
      <c r="I649" t="s">
        <v>18</v>
      </c>
      <c r="J649" t="s">
        <v>19</v>
      </c>
      <c r="K649">
        <v>10</v>
      </c>
      <c r="L649">
        <v>22106.78</v>
      </c>
      <c r="M649">
        <v>221067.8</v>
      </c>
      <c r="N649">
        <f t="shared" si="31"/>
        <v>221067.8</v>
      </c>
      <c r="O649" t="str">
        <f t="shared" si="32"/>
        <v>Medium</v>
      </c>
    </row>
    <row r="650" spans="1:15" x14ac:dyDescent="0.25">
      <c r="A650" t="s">
        <v>1961</v>
      </c>
      <c r="B650" t="s">
        <v>199</v>
      </c>
      <c r="C650" t="s">
        <v>1962</v>
      </c>
      <c r="D650" t="s">
        <v>280</v>
      </c>
      <c r="E650">
        <v>41</v>
      </c>
      <c r="F650" t="str">
        <f t="shared" si="30"/>
        <v>Middle Age</v>
      </c>
      <c r="G650" t="s">
        <v>16</v>
      </c>
      <c r="H650" t="s">
        <v>17</v>
      </c>
      <c r="I650" t="s">
        <v>18</v>
      </c>
      <c r="J650" t="s">
        <v>19</v>
      </c>
      <c r="K650">
        <v>3</v>
      </c>
      <c r="L650">
        <v>7467.04</v>
      </c>
      <c r="M650">
        <v>22401.119999999999</v>
      </c>
      <c r="N650">
        <f t="shared" si="31"/>
        <v>22401.119999999999</v>
      </c>
      <c r="O650" t="str">
        <f t="shared" si="32"/>
        <v>Low</v>
      </c>
    </row>
    <row r="651" spans="1:15" x14ac:dyDescent="0.25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tr">
        <f t="shared" si="30"/>
        <v>Senior</v>
      </c>
      <c r="G651" t="s">
        <v>24</v>
      </c>
      <c r="H651" t="s">
        <v>35</v>
      </c>
      <c r="I651" t="s">
        <v>47</v>
      </c>
      <c r="J651" t="s">
        <v>37</v>
      </c>
      <c r="K651">
        <v>7</v>
      </c>
      <c r="L651">
        <v>27547.81</v>
      </c>
      <c r="M651">
        <v>192834.67</v>
      </c>
      <c r="N651">
        <f t="shared" si="31"/>
        <v>192834.67</v>
      </c>
      <c r="O651" t="str">
        <f t="shared" si="32"/>
        <v>Medium</v>
      </c>
    </row>
    <row r="652" spans="1:15" x14ac:dyDescent="0.25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tr">
        <f t="shared" si="30"/>
        <v>Adult</v>
      </c>
      <c r="G652" t="s">
        <v>24</v>
      </c>
      <c r="H652" t="s">
        <v>115</v>
      </c>
      <c r="I652" t="s">
        <v>25</v>
      </c>
      <c r="J652" t="s">
        <v>26</v>
      </c>
      <c r="K652">
        <v>10</v>
      </c>
      <c r="L652">
        <v>22952.77</v>
      </c>
      <c r="M652">
        <v>229527.7</v>
      </c>
      <c r="N652">
        <f t="shared" si="31"/>
        <v>229527.7</v>
      </c>
      <c r="O652" t="str">
        <f t="shared" si="32"/>
        <v>Medium</v>
      </c>
    </row>
    <row r="653" spans="1:15" x14ac:dyDescent="0.25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tr">
        <f t="shared" si="30"/>
        <v>Young Adult</v>
      </c>
      <c r="G653" t="s">
        <v>24</v>
      </c>
      <c r="H653" t="s">
        <v>35</v>
      </c>
      <c r="I653" t="s">
        <v>18</v>
      </c>
      <c r="J653" t="s">
        <v>19</v>
      </c>
      <c r="K653">
        <v>6</v>
      </c>
      <c r="L653">
        <v>35222.230000000003</v>
      </c>
      <c r="M653">
        <v>211333.38</v>
      </c>
      <c r="N653">
        <f t="shared" si="31"/>
        <v>211333.38</v>
      </c>
      <c r="O653" t="str">
        <f t="shared" si="32"/>
        <v>Medium</v>
      </c>
    </row>
    <row r="654" spans="1:15" x14ac:dyDescent="0.25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tr">
        <f t="shared" si="30"/>
        <v>Adult</v>
      </c>
      <c r="G654" t="s">
        <v>24</v>
      </c>
      <c r="H654" t="s">
        <v>60</v>
      </c>
      <c r="I654" t="s">
        <v>76</v>
      </c>
      <c r="J654" t="s">
        <v>77</v>
      </c>
      <c r="K654">
        <v>8</v>
      </c>
      <c r="L654">
        <v>16240.66</v>
      </c>
      <c r="M654">
        <v>129925.28</v>
      </c>
      <c r="N654">
        <f t="shared" si="31"/>
        <v>129925.28</v>
      </c>
      <c r="O654" t="str">
        <f t="shared" si="32"/>
        <v>Low</v>
      </c>
    </row>
    <row r="655" spans="1:15" x14ac:dyDescent="0.25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tr">
        <f t="shared" si="30"/>
        <v>Middle Age</v>
      </c>
      <c r="G655" t="s">
        <v>24</v>
      </c>
      <c r="H655" t="s">
        <v>46</v>
      </c>
      <c r="I655" t="s">
        <v>25</v>
      </c>
      <c r="J655" t="s">
        <v>26</v>
      </c>
      <c r="K655">
        <v>1</v>
      </c>
      <c r="L655">
        <v>12255.87</v>
      </c>
      <c r="M655">
        <v>12255.87</v>
      </c>
      <c r="N655">
        <f t="shared" si="31"/>
        <v>12255.87</v>
      </c>
      <c r="O655" t="str">
        <f t="shared" si="32"/>
        <v>Low</v>
      </c>
    </row>
    <row r="656" spans="1:15" x14ac:dyDescent="0.25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tr">
        <f t="shared" si="30"/>
        <v>Young Adult</v>
      </c>
      <c r="G656" t="s">
        <v>24</v>
      </c>
      <c r="H656" t="s">
        <v>17</v>
      </c>
      <c r="I656" t="s">
        <v>76</v>
      </c>
      <c r="J656" t="s">
        <v>77</v>
      </c>
      <c r="K656">
        <v>7</v>
      </c>
      <c r="L656">
        <v>42941.88</v>
      </c>
      <c r="M656">
        <v>300593.15999999997</v>
      </c>
      <c r="N656">
        <f t="shared" si="31"/>
        <v>300593.15999999997</v>
      </c>
      <c r="O656" t="str">
        <f t="shared" si="32"/>
        <v>Medium</v>
      </c>
    </row>
    <row r="657" spans="1:15" x14ac:dyDescent="0.25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tr">
        <f t="shared" si="30"/>
        <v>Middle Age</v>
      </c>
      <c r="G657" t="s">
        <v>24</v>
      </c>
      <c r="H657" t="s">
        <v>69</v>
      </c>
      <c r="I657" t="s">
        <v>47</v>
      </c>
      <c r="J657" t="s">
        <v>37</v>
      </c>
      <c r="K657">
        <v>10</v>
      </c>
      <c r="L657">
        <v>10307.48</v>
      </c>
      <c r="M657">
        <v>103074.8</v>
      </c>
      <c r="N657">
        <f t="shared" si="31"/>
        <v>103074.79999999999</v>
      </c>
      <c r="O657" t="str">
        <f t="shared" si="32"/>
        <v>Low</v>
      </c>
    </row>
    <row r="658" spans="1:15" x14ac:dyDescent="0.25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tr">
        <f t="shared" si="30"/>
        <v>Young Adult</v>
      </c>
      <c r="G658" t="s">
        <v>16</v>
      </c>
      <c r="H658" t="s">
        <v>115</v>
      </c>
      <c r="I658" t="s">
        <v>70</v>
      </c>
      <c r="J658" t="s">
        <v>71</v>
      </c>
      <c r="K658">
        <v>10</v>
      </c>
      <c r="L658">
        <v>46270.13</v>
      </c>
      <c r="M658">
        <v>462701.3</v>
      </c>
      <c r="N658">
        <f t="shared" si="31"/>
        <v>462701.3</v>
      </c>
      <c r="O658" t="str">
        <f t="shared" si="32"/>
        <v>High</v>
      </c>
    </row>
    <row r="659" spans="1:15" x14ac:dyDescent="0.25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tr">
        <f t="shared" si="30"/>
        <v>Senior</v>
      </c>
      <c r="G659" t="s">
        <v>24</v>
      </c>
      <c r="H659" t="s">
        <v>102</v>
      </c>
      <c r="I659" t="s">
        <v>25</v>
      </c>
      <c r="J659" t="s">
        <v>26</v>
      </c>
      <c r="K659">
        <v>5</v>
      </c>
      <c r="L659">
        <v>33524.03</v>
      </c>
      <c r="M659">
        <v>167620.15</v>
      </c>
      <c r="N659">
        <f t="shared" si="31"/>
        <v>167620.15</v>
      </c>
      <c r="O659" t="str">
        <f t="shared" si="32"/>
        <v>Medium</v>
      </c>
    </row>
    <row r="660" spans="1:15" x14ac:dyDescent="0.25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tr">
        <f t="shared" si="30"/>
        <v>Young Adult</v>
      </c>
      <c r="G660" t="s">
        <v>24</v>
      </c>
      <c r="H660" t="s">
        <v>60</v>
      </c>
      <c r="I660" t="s">
        <v>25</v>
      </c>
      <c r="J660" t="s">
        <v>26</v>
      </c>
      <c r="K660">
        <v>2</v>
      </c>
      <c r="L660">
        <v>38065.839999999997</v>
      </c>
      <c r="M660">
        <v>76131.679999999993</v>
      </c>
      <c r="N660">
        <f t="shared" si="31"/>
        <v>76131.679999999993</v>
      </c>
      <c r="O660" t="str">
        <f t="shared" si="32"/>
        <v>Low</v>
      </c>
    </row>
    <row r="661" spans="1:15" x14ac:dyDescent="0.25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tr">
        <f t="shared" si="30"/>
        <v>Young Adult</v>
      </c>
      <c r="G661" t="s">
        <v>24</v>
      </c>
      <c r="H661" t="s">
        <v>17</v>
      </c>
      <c r="I661" t="s">
        <v>70</v>
      </c>
      <c r="J661" t="s">
        <v>71</v>
      </c>
      <c r="K661">
        <v>10</v>
      </c>
      <c r="L661">
        <v>8465.6200000000008</v>
      </c>
      <c r="M661">
        <v>84656.2</v>
      </c>
      <c r="N661">
        <f t="shared" si="31"/>
        <v>84656.200000000012</v>
      </c>
      <c r="O661" t="str">
        <f t="shared" si="32"/>
        <v>Low</v>
      </c>
    </row>
    <row r="662" spans="1:15" x14ac:dyDescent="0.25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tr">
        <f t="shared" si="30"/>
        <v>Middle Age</v>
      </c>
      <c r="G662" t="s">
        <v>16</v>
      </c>
      <c r="H662" t="s">
        <v>46</v>
      </c>
      <c r="I662" t="s">
        <v>18</v>
      </c>
      <c r="J662" t="s">
        <v>19</v>
      </c>
      <c r="K662">
        <v>9</v>
      </c>
      <c r="L662">
        <v>1610.18</v>
      </c>
      <c r="M662">
        <v>14491.62</v>
      </c>
      <c r="N662">
        <f t="shared" si="31"/>
        <v>14491.62</v>
      </c>
      <c r="O662" t="str">
        <f t="shared" si="32"/>
        <v>Low</v>
      </c>
    </row>
    <row r="663" spans="1:15" x14ac:dyDescent="0.25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tr">
        <f t="shared" si="30"/>
        <v>Young Adult</v>
      </c>
      <c r="G663" t="s">
        <v>24</v>
      </c>
      <c r="H663" t="s">
        <v>102</v>
      </c>
      <c r="I663" t="s">
        <v>18</v>
      </c>
      <c r="J663" t="s">
        <v>19</v>
      </c>
      <c r="K663">
        <v>5</v>
      </c>
      <c r="L663">
        <v>35120.83</v>
      </c>
      <c r="M663">
        <v>175604.15</v>
      </c>
      <c r="N663">
        <f t="shared" si="31"/>
        <v>175604.15000000002</v>
      </c>
      <c r="O663" t="str">
        <f t="shared" si="32"/>
        <v>Medium</v>
      </c>
    </row>
    <row r="664" spans="1:15" x14ac:dyDescent="0.25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tr">
        <f t="shared" si="30"/>
        <v>Adult</v>
      </c>
      <c r="G664" t="s">
        <v>16</v>
      </c>
      <c r="H664" t="s">
        <v>115</v>
      </c>
      <c r="I664" t="s">
        <v>76</v>
      </c>
      <c r="J664" t="s">
        <v>77</v>
      </c>
      <c r="K664">
        <v>6</v>
      </c>
      <c r="L664">
        <v>30775.74</v>
      </c>
      <c r="M664">
        <v>184654.44</v>
      </c>
      <c r="N664">
        <f t="shared" si="31"/>
        <v>184654.44</v>
      </c>
      <c r="O664" t="str">
        <f t="shared" si="32"/>
        <v>Medium</v>
      </c>
    </row>
    <row r="665" spans="1:15" x14ac:dyDescent="0.25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tr">
        <f t="shared" si="30"/>
        <v>Adult</v>
      </c>
      <c r="G665" t="s">
        <v>16</v>
      </c>
      <c r="H665" t="s">
        <v>115</v>
      </c>
      <c r="I665" t="s">
        <v>47</v>
      </c>
      <c r="J665" t="s">
        <v>37</v>
      </c>
      <c r="K665">
        <v>4</v>
      </c>
      <c r="L665">
        <v>47796.53</v>
      </c>
      <c r="M665">
        <v>191186.12</v>
      </c>
      <c r="N665">
        <f t="shared" si="31"/>
        <v>191186.12</v>
      </c>
      <c r="O665" t="str">
        <f t="shared" si="32"/>
        <v>Medium</v>
      </c>
    </row>
    <row r="666" spans="1:15" x14ac:dyDescent="0.25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tr">
        <f t="shared" si="30"/>
        <v>Middle Age</v>
      </c>
      <c r="G666" t="s">
        <v>16</v>
      </c>
      <c r="H666" t="s">
        <v>35</v>
      </c>
      <c r="I666" t="s">
        <v>18</v>
      </c>
      <c r="J666" t="s">
        <v>19</v>
      </c>
      <c r="K666">
        <v>7</v>
      </c>
      <c r="L666">
        <v>38583.879999999997</v>
      </c>
      <c r="M666">
        <v>270087.15999999997</v>
      </c>
      <c r="N666">
        <f t="shared" si="31"/>
        <v>270087.15999999997</v>
      </c>
      <c r="O666" t="str">
        <f t="shared" si="32"/>
        <v>Medium</v>
      </c>
    </row>
    <row r="667" spans="1:15" x14ac:dyDescent="0.25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tr">
        <f t="shared" si="30"/>
        <v>Adult</v>
      </c>
      <c r="G667" t="s">
        <v>24</v>
      </c>
      <c r="H667" t="s">
        <v>60</v>
      </c>
      <c r="I667" t="s">
        <v>47</v>
      </c>
      <c r="J667" t="s">
        <v>37</v>
      </c>
      <c r="K667">
        <v>6</v>
      </c>
      <c r="L667">
        <v>38368.410000000003</v>
      </c>
      <c r="M667">
        <v>230210.46</v>
      </c>
      <c r="N667">
        <f t="shared" si="31"/>
        <v>230210.46000000002</v>
      </c>
      <c r="O667" t="str">
        <f t="shared" si="32"/>
        <v>Medium</v>
      </c>
    </row>
    <row r="668" spans="1:15" x14ac:dyDescent="0.25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tr">
        <f t="shared" si="30"/>
        <v>Senior</v>
      </c>
      <c r="G668" t="s">
        <v>24</v>
      </c>
      <c r="H668" t="s">
        <v>17</v>
      </c>
      <c r="I668" t="s">
        <v>76</v>
      </c>
      <c r="J668" t="s">
        <v>77</v>
      </c>
      <c r="K668">
        <v>4</v>
      </c>
      <c r="L668">
        <v>48299.85</v>
      </c>
      <c r="M668">
        <v>193199.4</v>
      </c>
      <c r="N668">
        <f t="shared" si="31"/>
        <v>193199.4</v>
      </c>
      <c r="O668" t="str">
        <f t="shared" si="32"/>
        <v>Medium</v>
      </c>
    </row>
    <row r="669" spans="1:15" x14ac:dyDescent="0.25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tr">
        <f t="shared" si="30"/>
        <v>Young Adult</v>
      </c>
      <c r="G669" t="s">
        <v>16</v>
      </c>
      <c r="H669" t="s">
        <v>17</v>
      </c>
      <c r="I669" t="s">
        <v>47</v>
      </c>
      <c r="J669" t="s">
        <v>37</v>
      </c>
      <c r="K669">
        <v>9</v>
      </c>
      <c r="L669">
        <v>6889.29</v>
      </c>
      <c r="M669">
        <v>62003.61</v>
      </c>
      <c r="N669">
        <f t="shared" si="31"/>
        <v>62003.61</v>
      </c>
      <c r="O669" t="str">
        <f t="shared" si="32"/>
        <v>Low</v>
      </c>
    </row>
    <row r="670" spans="1:15" x14ac:dyDescent="0.25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tr">
        <f t="shared" si="30"/>
        <v>Senior</v>
      </c>
      <c r="G670" t="s">
        <v>16</v>
      </c>
      <c r="H670" t="s">
        <v>17</v>
      </c>
      <c r="I670" t="s">
        <v>70</v>
      </c>
      <c r="J670" t="s">
        <v>71</v>
      </c>
      <c r="K670">
        <v>10</v>
      </c>
      <c r="L670">
        <v>41268.06</v>
      </c>
      <c r="M670">
        <v>412680.6</v>
      </c>
      <c r="N670">
        <f t="shared" si="31"/>
        <v>412680.6</v>
      </c>
      <c r="O670" t="str">
        <f t="shared" si="32"/>
        <v>High</v>
      </c>
    </row>
    <row r="671" spans="1:15" x14ac:dyDescent="0.25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tr">
        <f t="shared" si="30"/>
        <v>Senior</v>
      </c>
      <c r="G671" t="s">
        <v>24</v>
      </c>
      <c r="H671" t="s">
        <v>69</v>
      </c>
      <c r="I671" t="s">
        <v>70</v>
      </c>
      <c r="J671" t="s">
        <v>71</v>
      </c>
      <c r="K671">
        <v>5</v>
      </c>
      <c r="L671">
        <v>28065.77</v>
      </c>
      <c r="M671">
        <v>140328.85</v>
      </c>
      <c r="N671">
        <f t="shared" si="31"/>
        <v>140328.85</v>
      </c>
      <c r="O671" t="str">
        <f t="shared" si="32"/>
        <v>Low</v>
      </c>
    </row>
    <row r="672" spans="1:15" x14ac:dyDescent="0.25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tr">
        <f t="shared" si="30"/>
        <v>Adult</v>
      </c>
      <c r="G672" t="s">
        <v>16</v>
      </c>
      <c r="H672" t="s">
        <v>102</v>
      </c>
      <c r="I672" t="s">
        <v>76</v>
      </c>
      <c r="J672" t="s">
        <v>77</v>
      </c>
      <c r="K672">
        <v>8</v>
      </c>
      <c r="L672">
        <v>25269.25</v>
      </c>
      <c r="M672">
        <v>202154</v>
      </c>
      <c r="N672">
        <f t="shared" si="31"/>
        <v>202154</v>
      </c>
      <c r="O672" t="str">
        <f t="shared" si="32"/>
        <v>Medium</v>
      </c>
    </row>
    <row r="673" spans="1:15" x14ac:dyDescent="0.25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tr">
        <f t="shared" si="30"/>
        <v>Senior</v>
      </c>
      <c r="G673" t="s">
        <v>24</v>
      </c>
      <c r="H673" t="s">
        <v>69</v>
      </c>
      <c r="I673" t="s">
        <v>76</v>
      </c>
      <c r="J673" t="s">
        <v>77</v>
      </c>
      <c r="K673">
        <v>2</v>
      </c>
      <c r="L673">
        <v>31615.64</v>
      </c>
      <c r="M673">
        <v>63231.28</v>
      </c>
      <c r="N673">
        <f t="shared" si="31"/>
        <v>63231.28</v>
      </c>
      <c r="O673" t="str">
        <f t="shared" si="32"/>
        <v>Low</v>
      </c>
    </row>
    <row r="674" spans="1:15" x14ac:dyDescent="0.25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tr">
        <f t="shared" si="30"/>
        <v>Middle Age</v>
      </c>
      <c r="G674" t="s">
        <v>24</v>
      </c>
      <c r="H674" t="s">
        <v>35</v>
      </c>
      <c r="I674" t="s">
        <v>36</v>
      </c>
      <c r="J674" t="s">
        <v>37</v>
      </c>
      <c r="K674">
        <v>1</v>
      </c>
      <c r="L674">
        <v>17212.990000000002</v>
      </c>
      <c r="M674">
        <v>17212.990000000002</v>
      </c>
      <c r="N674">
        <f t="shared" si="31"/>
        <v>17212.990000000002</v>
      </c>
      <c r="O674" t="str">
        <f t="shared" si="32"/>
        <v>Low</v>
      </c>
    </row>
    <row r="675" spans="1:15" x14ac:dyDescent="0.25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tr">
        <f t="shared" si="30"/>
        <v>Middle Age</v>
      </c>
      <c r="G675" t="s">
        <v>24</v>
      </c>
      <c r="I675" t="s">
        <v>47</v>
      </c>
      <c r="J675" t="s">
        <v>37</v>
      </c>
      <c r="K675">
        <v>1</v>
      </c>
      <c r="L675">
        <v>14756.18</v>
      </c>
      <c r="M675">
        <v>14756.18</v>
      </c>
      <c r="N675">
        <f t="shared" si="31"/>
        <v>14756.18</v>
      </c>
      <c r="O675" t="str">
        <f t="shared" si="32"/>
        <v>Low</v>
      </c>
    </row>
    <row r="676" spans="1:15" x14ac:dyDescent="0.25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tr">
        <f t="shared" si="30"/>
        <v>Middle Age</v>
      </c>
      <c r="G676" t="s">
        <v>16</v>
      </c>
      <c r="H676" t="s">
        <v>60</v>
      </c>
      <c r="I676" t="s">
        <v>70</v>
      </c>
      <c r="J676" t="s">
        <v>71</v>
      </c>
      <c r="K676">
        <v>5</v>
      </c>
      <c r="L676">
        <v>21694.12</v>
      </c>
      <c r="M676">
        <v>108470.6</v>
      </c>
      <c r="N676">
        <f t="shared" si="31"/>
        <v>108470.59999999999</v>
      </c>
      <c r="O676" t="str">
        <f t="shared" si="32"/>
        <v>Low</v>
      </c>
    </row>
    <row r="677" spans="1:15" x14ac:dyDescent="0.25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tr">
        <f t="shared" si="30"/>
        <v>Adult</v>
      </c>
      <c r="G677" t="s">
        <v>24</v>
      </c>
      <c r="H677" t="s">
        <v>46</v>
      </c>
      <c r="I677" t="s">
        <v>25</v>
      </c>
      <c r="J677" t="s">
        <v>26</v>
      </c>
      <c r="K677">
        <v>8</v>
      </c>
      <c r="L677">
        <v>5632.88</v>
      </c>
      <c r="M677">
        <v>45063.040000000001</v>
      </c>
      <c r="N677">
        <f t="shared" si="31"/>
        <v>45063.040000000001</v>
      </c>
      <c r="O677" t="str">
        <f t="shared" si="32"/>
        <v>Low</v>
      </c>
    </row>
    <row r="678" spans="1:15" x14ac:dyDescent="0.25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tr">
        <f t="shared" si="30"/>
        <v>Adult</v>
      </c>
      <c r="G678" t="s">
        <v>24</v>
      </c>
      <c r="H678" t="s">
        <v>46</v>
      </c>
      <c r="I678" t="s">
        <v>25</v>
      </c>
      <c r="J678" t="s">
        <v>26</v>
      </c>
      <c r="K678">
        <v>5</v>
      </c>
      <c r="L678">
        <v>16961.150000000001</v>
      </c>
      <c r="M678">
        <v>84805.75</v>
      </c>
      <c r="N678">
        <f t="shared" si="31"/>
        <v>84805.75</v>
      </c>
      <c r="O678" t="str">
        <f t="shared" si="32"/>
        <v>Low</v>
      </c>
    </row>
    <row r="679" spans="1:15" x14ac:dyDescent="0.25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tr">
        <f t="shared" si="30"/>
        <v>Senior</v>
      </c>
      <c r="G679" t="s">
        <v>16</v>
      </c>
      <c r="H679" t="s">
        <v>17</v>
      </c>
      <c r="I679" t="s">
        <v>36</v>
      </c>
      <c r="J679" t="s">
        <v>37</v>
      </c>
      <c r="K679">
        <v>3</v>
      </c>
      <c r="L679">
        <v>17500.41</v>
      </c>
      <c r="M679">
        <v>52501.23</v>
      </c>
      <c r="N679">
        <f t="shared" si="31"/>
        <v>52501.229999999996</v>
      </c>
      <c r="O679" t="str">
        <f t="shared" si="32"/>
        <v>Low</v>
      </c>
    </row>
    <row r="680" spans="1:15" x14ac:dyDescent="0.25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tr">
        <f t="shared" si="30"/>
        <v>Young Adult</v>
      </c>
      <c r="G680" t="s">
        <v>24</v>
      </c>
      <c r="H680" t="s">
        <v>60</v>
      </c>
      <c r="I680" t="s">
        <v>76</v>
      </c>
      <c r="J680" t="s">
        <v>77</v>
      </c>
      <c r="K680">
        <v>5</v>
      </c>
      <c r="L680">
        <v>47401.02</v>
      </c>
      <c r="M680">
        <v>237005.1</v>
      </c>
      <c r="N680">
        <f t="shared" si="31"/>
        <v>237005.09999999998</v>
      </c>
      <c r="O680" t="str">
        <f t="shared" si="32"/>
        <v>Medium</v>
      </c>
    </row>
    <row r="681" spans="1:15" x14ac:dyDescent="0.25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tr">
        <f t="shared" si="30"/>
        <v>Young Adult</v>
      </c>
      <c r="G681" t="s">
        <v>24</v>
      </c>
      <c r="H681" t="s">
        <v>46</v>
      </c>
      <c r="I681" t="s">
        <v>36</v>
      </c>
      <c r="J681" t="s">
        <v>37</v>
      </c>
      <c r="K681">
        <v>7</v>
      </c>
      <c r="L681">
        <v>12194.92</v>
      </c>
      <c r="M681">
        <v>85364.44</v>
      </c>
      <c r="N681">
        <f t="shared" si="31"/>
        <v>85364.44</v>
      </c>
      <c r="O681" t="str">
        <f t="shared" si="32"/>
        <v>Low</v>
      </c>
    </row>
    <row r="682" spans="1:15" x14ac:dyDescent="0.25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tr">
        <f t="shared" si="30"/>
        <v>Adult</v>
      </c>
      <c r="G682" t="s">
        <v>16</v>
      </c>
      <c r="H682" t="s">
        <v>60</v>
      </c>
      <c r="I682" t="s">
        <v>36</v>
      </c>
      <c r="J682" t="s">
        <v>37</v>
      </c>
      <c r="K682">
        <v>8</v>
      </c>
      <c r="L682">
        <v>49052.97</v>
      </c>
      <c r="M682">
        <v>392423.76</v>
      </c>
      <c r="N682">
        <f t="shared" si="31"/>
        <v>392423.76</v>
      </c>
      <c r="O682" t="str">
        <f t="shared" si="32"/>
        <v>High</v>
      </c>
    </row>
    <row r="683" spans="1:15" x14ac:dyDescent="0.25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tr">
        <f t="shared" si="30"/>
        <v>Senior</v>
      </c>
      <c r="G683" t="s">
        <v>16</v>
      </c>
      <c r="H683" t="s">
        <v>46</v>
      </c>
      <c r="I683" t="s">
        <v>25</v>
      </c>
      <c r="J683" t="s">
        <v>26</v>
      </c>
      <c r="K683">
        <v>4</v>
      </c>
      <c r="L683">
        <v>22686.59</v>
      </c>
      <c r="M683">
        <v>90746.36</v>
      </c>
      <c r="N683">
        <f t="shared" si="31"/>
        <v>90746.36</v>
      </c>
      <c r="O683" t="str">
        <f t="shared" si="32"/>
        <v>Low</v>
      </c>
    </row>
    <row r="684" spans="1:15" x14ac:dyDescent="0.25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tr">
        <f t="shared" si="30"/>
        <v>Senior</v>
      </c>
      <c r="G684" t="s">
        <v>24</v>
      </c>
      <c r="H684" t="s">
        <v>17</v>
      </c>
      <c r="I684" t="s">
        <v>47</v>
      </c>
      <c r="J684" t="s">
        <v>37</v>
      </c>
      <c r="K684">
        <v>5</v>
      </c>
      <c r="L684">
        <v>34508.6</v>
      </c>
      <c r="M684">
        <v>172543</v>
      </c>
      <c r="N684">
        <f t="shared" si="31"/>
        <v>172543</v>
      </c>
      <c r="O684" t="str">
        <f t="shared" si="32"/>
        <v>Medium</v>
      </c>
    </row>
    <row r="685" spans="1:15" x14ac:dyDescent="0.25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tr">
        <f t="shared" si="30"/>
        <v>Middle Age</v>
      </c>
      <c r="G685" t="s">
        <v>16</v>
      </c>
      <c r="H685" t="s">
        <v>60</v>
      </c>
      <c r="I685" t="s">
        <v>47</v>
      </c>
      <c r="J685" t="s">
        <v>37</v>
      </c>
      <c r="K685">
        <v>7</v>
      </c>
      <c r="L685">
        <v>21599.35</v>
      </c>
      <c r="M685">
        <v>151195.45000000001</v>
      </c>
      <c r="N685">
        <f t="shared" si="31"/>
        <v>151195.44999999998</v>
      </c>
      <c r="O685" t="str">
        <f t="shared" si="32"/>
        <v>Low</v>
      </c>
    </row>
    <row r="686" spans="1:15" x14ac:dyDescent="0.25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tr">
        <f t="shared" si="30"/>
        <v>Middle Age</v>
      </c>
      <c r="G686" t="s">
        <v>16</v>
      </c>
      <c r="H686" t="s">
        <v>46</v>
      </c>
      <c r="I686" t="s">
        <v>76</v>
      </c>
      <c r="J686" t="s">
        <v>77</v>
      </c>
      <c r="K686">
        <v>4</v>
      </c>
      <c r="L686">
        <v>30019.56</v>
      </c>
      <c r="M686">
        <v>120078.24</v>
      </c>
      <c r="N686">
        <f t="shared" si="31"/>
        <v>120078.24</v>
      </c>
      <c r="O686" t="str">
        <f t="shared" si="32"/>
        <v>Low</v>
      </c>
    </row>
    <row r="687" spans="1:15" x14ac:dyDescent="0.25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tr">
        <f t="shared" si="30"/>
        <v>Adult</v>
      </c>
      <c r="G687" t="s">
        <v>16</v>
      </c>
      <c r="H687" t="s">
        <v>60</v>
      </c>
      <c r="I687" t="s">
        <v>47</v>
      </c>
      <c r="J687" t="s">
        <v>37</v>
      </c>
      <c r="K687">
        <v>5</v>
      </c>
      <c r="L687">
        <v>24358.21</v>
      </c>
      <c r="M687">
        <v>121791.05</v>
      </c>
      <c r="N687">
        <f t="shared" si="31"/>
        <v>121791.04999999999</v>
      </c>
      <c r="O687" t="str">
        <f t="shared" si="32"/>
        <v>Low</v>
      </c>
    </row>
    <row r="688" spans="1:15" x14ac:dyDescent="0.25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tr">
        <f t="shared" si="30"/>
        <v>Adult</v>
      </c>
      <c r="G688" t="s">
        <v>16</v>
      </c>
      <c r="H688" t="s">
        <v>115</v>
      </c>
      <c r="I688" t="s">
        <v>76</v>
      </c>
      <c r="J688" t="s">
        <v>77</v>
      </c>
      <c r="K688">
        <v>6</v>
      </c>
      <c r="L688">
        <v>16639.759999999998</v>
      </c>
      <c r="M688">
        <v>99838.56</v>
      </c>
      <c r="N688">
        <f t="shared" si="31"/>
        <v>99838.56</v>
      </c>
      <c r="O688" t="str">
        <f t="shared" si="32"/>
        <v>Low</v>
      </c>
    </row>
    <row r="689" spans="1:15" x14ac:dyDescent="0.25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tr">
        <f t="shared" si="30"/>
        <v>Senior</v>
      </c>
      <c r="G689" t="s">
        <v>16</v>
      </c>
      <c r="H689" t="s">
        <v>35</v>
      </c>
      <c r="I689" t="s">
        <v>25</v>
      </c>
      <c r="J689" t="s">
        <v>26</v>
      </c>
      <c r="K689">
        <v>3</v>
      </c>
      <c r="L689">
        <v>48276.39</v>
      </c>
      <c r="M689">
        <v>144829.17000000001</v>
      </c>
      <c r="N689">
        <f t="shared" si="31"/>
        <v>144829.16999999998</v>
      </c>
      <c r="O689" t="str">
        <f t="shared" si="32"/>
        <v>Low</v>
      </c>
    </row>
    <row r="690" spans="1:15" x14ac:dyDescent="0.25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tr">
        <f t="shared" si="30"/>
        <v>Senior</v>
      </c>
      <c r="G690" t="s">
        <v>16</v>
      </c>
      <c r="H690" t="s">
        <v>35</v>
      </c>
      <c r="I690" t="s">
        <v>18</v>
      </c>
      <c r="J690" t="s">
        <v>19</v>
      </c>
      <c r="K690">
        <v>9</v>
      </c>
      <c r="L690">
        <v>40069.01</v>
      </c>
      <c r="M690">
        <v>360621.09</v>
      </c>
      <c r="N690">
        <f t="shared" si="31"/>
        <v>360621.09</v>
      </c>
      <c r="O690" t="str">
        <f t="shared" si="32"/>
        <v>High</v>
      </c>
    </row>
    <row r="691" spans="1:15" x14ac:dyDescent="0.25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tr">
        <f t="shared" si="30"/>
        <v>Young Adult</v>
      </c>
      <c r="G691" t="s">
        <v>24</v>
      </c>
      <c r="H691" t="s">
        <v>35</v>
      </c>
      <c r="I691" t="s">
        <v>36</v>
      </c>
      <c r="J691" t="s">
        <v>37</v>
      </c>
      <c r="K691">
        <v>9</v>
      </c>
      <c r="L691">
        <v>31937.15</v>
      </c>
      <c r="M691">
        <v>287434.34999999998</v>
      </c>
      <c r="N691">
        <f t="shared" si="31"/>
        <v>287434.35000000003</v>
      </c>
      <c r="O691" t="str">
        <f t="shared" si="32"/>
        <v>Medium</v>
      </c>
    </row>
    <row r="692" spans="1:15" x14ac:dyDescent="0.25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tr">
        <f t="shared" si="30"/>
        <v>Middle Age</v>
      </c>
      <c r="G692" t="s">
        <v>16</v>
      </c>
      <c r="H692" t="s">
        <v>60</v>
      </c>
      <c r="I692" t="s">
        <v>47</v>
      </c>
      <c r="J692" t="s">
        <v>37</v>
      </c>
      <c r="K692">
        <v>7</v>
      </c>
      <c r="L692">
        <v>40754.69</v>
      </c>
      <c r="M692">
        <v>285282.83</v>
      </c>
      <c r="N692">
        <f t="shared" si="31"/>
        <v>285282.83</v>
      </c>
      <c r="O692" t="str">
        <f t="shared" si="32"/>
        <v>Medium</v>
      </c>
    </row>
    <row r="693" spans="1:15" x14ac:dyDescent="0.25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tr">
        <f t="shared" si="30"/>
        <v>Adult</v>
      </c>
      <c r="G693" t="s">
        <v>24</v>
      </c>
      <c r="H693" t="s">
        <v>35</v>
      </c>
      <c r="I693" t="s">
        <v>25</v>
      </c>
      <c r="J693" t="s">
        <v>26</v>
      </c>
      <c r="K693">
        <v>10</v>
      </c>
      <c r="L693">
        <v>45877.49</v>
      </c>
      <c r="M693">
        <v>458774.9</v>
      </c>
      <c r="N693">
        <f t="shared" si="31"/>
        <v>458774.89999999997</v>
      </c>
      <c r="O693" t="str">
        <f t="shared" si="32"/>
        <v>High</v>
      </c>
    </row>
    <row r="694" spans="1:15" x14ac:dyDescent="0.25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tr">
        <f t="shared" si="30"/>
        <v>Adult</v>
      </c>
      <c r="G694" t="s">
        <v>16</v>
      </c>
      <c r="H694" t="s">
        <v>60</v>
      </c>
      <c r="I694" t="s">
        <v>18</v>
      </c>
      <c r="J694" t="s">
        <v>19</v>
      </c>
      <c r="K694">
        <v>5</v>
      </c>
      <c r="L694">
        <v>20994.21</v>
      </c>
      <c r="M694">
        <v>104971.05</v>
      </c>
      <c r="N694">
        <f t="shared" si="31"/>
        <v>104971.04999999999</v>
      </c>
      <c r="O694" t="str">
        <f t="shared" si="32"/>
        <v>Low</v>
      </c>
    </row>
    <row r="695" spans="1:15" x14ac:dyDescent="0.25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tr">
        <f t="shared" si="30"/>
        <v>Adult</v>
      </c>
      <c r="G695" t="s">
        <v>16</v>
      </c>
      <c r="H695" t="s">
        <v>115</v>
      </c>
      <c r="I695" t="s">
        <v>76</v>
      </c>
      <c r="J695" t="s">
        <v>77</v>
      </c>
      <c r="K695">
        <v>2</v>
      </c>
      <c r="L695">
        <v>3215.11</v>
      </c>
      <c r="M695">
        <v>6430.22</v>
      </c>
      <c r="N695">
        <f t="shared" si="31"/>
        <v>6430.22</v>
      </c>
      <c r="O695" t="str">
        <f t="shared" si="32"/>
        <v>Low</v>
      </c>
    </row>
    <row r="696" spans="1:15" x14ac:dyDescent="0.25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tr">
        <f t="shared" si="30"/>
        <v>Senior</v>
      </c>
      <c r="G696" t="s">
        <v>16</v>
      </c>
      <c r="H696" t="s">
        <v>102</v>
      </c>
      <c r="I696" t="s">
        <v>70</v>
      </c>
      <c r="J696" t="s">
        <v>71</v>
      </c>
      <c r="K696">
        <v>4</v>
      </c>
      <c r="L696">
        <v>26936.34</v>
      </c>
      <c r="M696">
        <v>107745.36</v>
      </c>
      <c r="N696">
        <f t="shared" si="31"/>
        <v>107745.36</v>
      </c>
      <c r="O696" t="str">
        <f t="shared" si="32"/>
        <v>Low</v>
      </c>
    </row>
    <row r="697" spans="1:15" x14ac:dyDescent="0.25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tr">
        <f t="shared" si="30"/>
        <v>Middle Age</v>
      </c>
      <c r="G697" t="s">
        <v>16</v>
      </c>
      <c r="H697" t="s">
        <v>115</v>
      </c>
      <c r="I697" t="s">
        <v>47</v>
      </c>
      <c r="J697" t="s">
        <v>37</v>
      </c>
      <c r="K697">
        <v>9</v>
      </c>
      <c r="L697">
        <v>29470.1</v>
      </c>
      <c r="M697">
        <v>265230.90000000002</v>
      </c>
      <c r="N697">
        <f t="shared" si="31"/>
        <v>265230.89999999997</v>
      </c>
      <c r="O697" t="str">
        <f t="shared" si="32"/>
        <v>Medium</v>
      </c>
    </row>
    <row r="698" spans="1:15" x14ac:dyDescent="0.25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tr">
        <f t="shared" si="30"/>
        <v>Middle Age</v>
      </c>
      <c r="G698" t="s">
        <v>16</v>
      </c>
      <c r="H698" t="s">
        <v>69</v>
      </c>
      <c r="I698" t="s">
        <v>25</v>
      </c>
      <c r="J698" t="s">
        <v>26</v>
      </c>
      <c r="K698">
        <v>4</v>
      </c>
      <c r="L698">
        <v>31076.31</v>
      </c>
      <c r="M698">
        <v>124305.24</v>
      </c>
      <c r="N698">
        <f t="shared" si="31"/>
        <v>124305.24</v>
      </c>
      <c r="O698" t="str">
        <f t="shared" si="32"/>
        <v>Low</v>
      </c>
    </row>
    <row r="699" spans="1:15" x14ac:dyDescent="0.25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tr">
        <f t="shared" si="30"/>
        <v>Young Adult</v>
      </c>
      <c r="G699" t="s">
        <v>24</v>
      </c>
      <c r="H699" t="s">
        <v>115</v>
      </c>
      <c r="I699" t="s">
        <v>76</v>
      </c>
      <c r="J699" t="s">
        <v>77</v>
      </c>
      <c r="K699">
        <v>4</v>
      </c>
      <c r="L699">
        <v>43864.35</v>
      </c>
      <c r="M699">
        <v>175457.4</v>
      </c>
      <c r="N699">
        <f t="shared" si="31"/>
        <v>175457.4</v>
      </c>
      <c r="O699" t="str">
        <f t="shared" si="32"/>
        <v>Medium</v>
      </c>
    </row>
    <row r="700" spans="1:15" x14ac:dyDescent="0.25">
      <c r="A700" t="s">
        <v>2076</v>
      </c>
      <c r="B700" t="s">
        <v>2077</v>
      </c>
      <c r="C700" t="s">
        <v>2078</v>
      </c>
      <c r="D700" t="s">
        <v>2036</v>
      </c>
      <c r="E700">
        <v>41</v>
      </c>
      <c r="F700" t="str">
        <f t="shared" si="30"/>
        <v>Middle Age</v>
      </c>
      <c r="G700" t="s">
        <v>16</v>
      </c>
      <c r="H700" t="s">
        <v>60</v>
      </c>
      <c r="I700" t="s">
        <v>36</v>
      </c>
      <c r="J700" t="s">
        <v>37</v>
      </c>
      <c r="K700">
        <v>9</v>
      </c>
      <c r="L700">
        <v>11808.33</v>
      </c>
      <c r="M700">
        <v>106274.97</v>
      </c>
      <c r="N700">
        <f t="shared" si="31"/>
        <v>106274.97</v>
      </c>
      <c r="O700" t="str">
        <f t="shared" si="32"/>
        <v>Low</v>
      </c>
    </row>
    <row r="701" spans="1:15" x14ac:dyDescent="0.25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tr">
        <f t="shared" si="30"/>
        <v>Young Adult</v>
      </c>
      <c r="G701" t="s">
        <v>24</v>
      </c>
      <c r="H701" t="s">
        <v>102</v>
      </c>
      <c r="I701" t="s">
        <v>18</v>
      </c>
      <c r="J701" t="s">
        <v>19</v>
      </c>
      <c r="K701">
        <v>2</v>
      </c>
      <c r="L701">
        <v>38128.32</v>
      </c>
      <c r="M701">
        <v>76256.639999999999</v>
      </c>
      <c r="N701">
        <f t="shared" si="31"/>
        <v>76256.639999999999</v>
      </c>
      <c r="O701" t="str">
        <f t="shared" si="32"/>
        <v>Low</v>
      </c>
    </row>
    <row r="702" spans="1:15" x14ac:dyDescent="0.25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tr">
        <f t="shared" si="30"/>
        <v>Adult</v>
      </c>
      <c r="G702" t="s">
        <v>16</v>
      </c>
      <c r="H702" t="s">
        <v>35</v>
      </c>
      <c r="I702" t="s">
        <v>25</v>
      </c>
      <c r="J702" t="s">
        <v>26</v>
      </c>
      <c r="K702">
        <v>9</v>
      </c>
      <c r="L702">
        <v>28222.97</v>
      </c>
      <c r="M702">
        <v>254006.73</v>
      </c>
      <c r="N702">
        <f t="shared" si="31"/>
        <v>254006.73</v>
      </c>
      <c r="O702" t="str">
        <f t="shared" si="32"/>
        <v>Medium</v>
      </c>
    </row>
    <row r="703" spans="1:15" x14ac:dyDescent="0.25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tr">
        <f t="shared" si="30"/>
        <v>Adult</v>
      </c>
      <c r="G703" t="s">
        <v>24</v>
      </c>
      <c r="H703" t="s">
        <v>102</v>
      </c>
      <c r="I703" t="s">
        <v>25</v>
      </c>
      <c r="J703" t="s">
        <v>26</v>
      </c>
      <c r="K703">
        <v>6</v>
      </c>
      <c r="L703">
        <v>21720.560000000001</v>
      </c>
      <c r="M703">
        <v>130323.36</v>
      </c>
      <c r="N703">
        <f t="shared" si="31"/>
        <v>130323.36000000002</v>
      </c>
      <c r="O703" t="str">
        <f t="shared" si="32"/>
        <v>Low</v>
      </c>
    </row>
    <row r="704" spans="1:15" x14ac:dyDescent="0.25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tr">
        <f t="shared" si="30"/>
        <v>Adult</v>
      </c>
      <c r="G704" t="s">
        <v>24</v>
      </c>
      <c r="H704" t="s">
        <v>102</v>
      </c>
      <c r="I704" t="s">
        <v>76</v>
      </c>
      <c r="J704" t="s">
        <v>77</v>
      </c>
      <c r="K704">
        <v>3</v>
      </c>
      <c r="L704">
        <v>4568.6099999999997</v>
      </c>
      <c r="M704">
        <v>13705.83</v>
      </c>
      <c r="N704">
        <f t="shared" si="31"/>
        <v>13705.829999999998</v>
      </c>
      <c r="O704" t="str">
        <f t="shared" si="32"/>
        <v>Low</v>
      </c>
    </row>
    <row r="705" spans="1:15" x14ac:dyDescent="0.25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tr">
        <f t="shared" si="30"/>
        <v>Young Adult</v>
      </c>
      <c r="G705" t="s">
        <v>16</v>
      </c>
      <c r="H705" t="s">
        <v>60</v>
      </c>
      <c r="I705" t="s">
        <v>25</v>
      </c>
      <c r="J705" t="s">
        <v>26</v>
      </c>
      <c r="K705">
        <v>3</v>
      </c>
      <c r="L705">
        <v>11492.49</v>
      </c>
      <c r="M705">
        <v>34477.47</v>
      </c>
      <c r="N705">
        <f t="shared" si="31"/>
        <v>34477.47</v>
      </c>
      <c r="O705" t="str">
        <f t="shared" si="32"/>
        <v>Low</v>
      </c>
    </row>
    <row r="706" spans="1:15" x14ac:dyDescent="0.25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tr">
        <f t="shared" si="30"/>
        <v>Middle Age</v>
      </c>
      <c r="G706" t="s">
        <v>16</v>
      </c>
      <c r="H706" t="s">
        <v>69</v>
      </c>
      <c r="I706" t="s">
        <v>76</v>
      </c>
      <c r="J706" t="s">
        <v>77</v>
      </c>
      <c r="K706">
        <v>3</v>
      </c>
      <c r="L706">
        <v>23252.080000000002</v>
      </c>
      <c r="M706">
        <v>69756.240000000005</v>
      </c>
      <c r="N706">
        <f t="shared" si="31"/>
        <v>69756.240000000005</v>
      </c>
      <c r="O706" t="str">
        <f t="shared" si="32"/>
        <v>Low</v>
      </c>
    </row>
    <row r="707" spans="1:15" x14ac:dyDescent="0.25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tr">
        <f t="shared" ref="F707:F770" si="33">IF(E707&lt;=25,"Young Adult",IF(E707&lt;=40,"Adult",IF(E707&lt;=55,"Middle Age","Senior")))</f>
        <v>Senior</v>
      </c>
      <c r="G707" t="s">
        <v>24</v>
      </c>
      <c r="H707" t="s">
        <v>51</v>
      </c>
      <c r="I707" t="s">
        <v>25</v>
      </c>
      <c r="J707" t="s">
        <v>26</v>
      </c>
      <c r="K707">
        <v>9</v>
      </c>
      <c r="L707">
        <v>31686.77</v>
      </c>
      <c r="M707">
        <v>285180.93</v>
      </c>
      <c r="N707">
        <f t="shared" ref="N707:N770" si="34">K707*L707</f>
        <v>285180.93</v>
      </c>
      <c r="O707" t="str">
        <f t="shared" ref="O707:O770" si="35">IF(M707&lt;165000,"Low",IF(M707&lt;=330000,"Medium","High"))</f>
        <v>Medium</v>
      </c>
    </row>
    <row r="708" spans="1:15" x14ac:dyDescent="0.25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tr">
        <f t="shared" si="33"/>
        <v>Young Adult</v>
      </c>
      <c r="G708" t="s">
        <v>24</v>
      </c>
      <c r="H708" t="s">
        <v>35</v>
      </c>
      <c r="I708" t="s">
        <v>47</v>
      </c>
      <c r="J708" t="s">
        <v>37</v>
      </c>
      <c r="K708">
        <v>2</v>
      </c>
      <c r="L708">
        <v>37278.21</v>
      </c>
      <c r="M708">
        <v>74556.42</v>
      </c>
      <c r="N708">
        <f t="shared" si="34"/>
        <v>74556.42</v>
      </c>
      <c r="O708" t="str">
        <f t="shared" si="35"/>
        <v>Low</v>
      </c>
    </row>
    <row r="709" spans="1:15" x14ac:dyDescent="0.25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tr">
        <f t="shared" si="33"/>
        <v>Adult</v>
      </c>
      <c r="G709" t="s">
        <v>24</v>
      </c>
      <c r="H709" t="s">
        <v>17</v>
      </c>
      <c r="I709" t="s">
        <v>47</v>
      </c>
      <c r="J709" t="s">
        <v>37</v>
      </c>
      <c r="K709">
        <v>6</v>
      </c>
      <c r="L709">
        <v>12680.8</v>
      </c>
      <c r="M709">
        <v>76084.800000000003</v>
      </c>
      <c r="N709">
        <f t="shared" si="34"/>
        <v>76084.799999999988</v>
      </c>
      <c r="O709" t="str">
        <f t="shared" si="35"/>
        <v>Low</v>
      </c>
    </row>
    <row r="710" spans="1:15" x14ac:dyDescent="0.25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tr">
        <f t="shared" si="33"/>
        <v>Middle Age</v>
      </c>
      <c r="G710" t="s">
        <v>16</v>
      </c>
      <c r="H710" t="s">
        <v>46</v>
      </c>
      <c r="I710" t="s">
        <v>18</v>
      </c>
      <c r="J710" t="s">
        <v>19</v>
      </c>
      <c r="K710">
        <v>4</v>
      </c>
      <c r="L710">
        <v>17704.669999999998</v>
      </c>
      <c r="M710">
        <v>70818.679999999993</v>
      </c>
      <c r="N710">
        <f t="shared" si="34"/>
        <v>70818.679999999993</v>
      </c>
      <c r="O710" t="str">
        <f t="shared" si="35"/>
        <v>Low</v>
      </c>
    </row>
    <row r="711" spans="1:15" x14ac:dyDescent="0.25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tr">
        <f t="shared" si="33"/>
        <v>Young Adult</v>
      </c>
      <c r="G711" t="s">
        <v>16</v>
      </c>
      <c r="H711" t="s">
        <v>102</v>
      </c>
      <c r="I711" t="s">
        <v>70</v>
      </c>
      <c r="J711" t="s">
        <v>71</v>
      </c>
      <c r="K711">
        <v>5</v>
      </c>
      <c r="L711">
        <v>22734.66</v>
      </c>
      <c r="M711">
        <v>113673.3</v>
      </c>
      <c r="N711">
        <f t="shared" si="34"/>
        <v>113673.3</v>
      </c>
      <c r="O711" t="str">
        <f t="shared" si="35"/>
        <v>Low</v>
      </c>
    </row>
    <row r="712" spans="1:15" x14ac:dyDescent="0.25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tr">
        <f t="shared" si="33"/>
        <v>Middle Age</v>
      </c>
      <c r="G712" t="s">
        <v>16</v>
      </c>
      <c r="H712" t="s">
        <v>46</v>
      </c>
      <c r="I712" t="s">
        <v>47</v>
      </c>
      <c r="J712" t="s">
        <v>37</v>
      </c>
      <c r="K712">
        <v>6</v>
      </c>
      <c r="L712">
        <v>36277.760000000002</v>
      </c>
      <c r="M712">
        <v>217666.56</v>
      </c>
      <c r="N712">
        <f t="shared" si="34"/>
        <v>217666.56</v>
      </c>
      <c r="O712" t="str">
        <f t="shared" si="35"/>
        <v>Medium</v>
      </c>
    </row>
    <row r="713" spans="1:15" x14ac:dyDescent="0.25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tr">
        <f t="shared" si="33"/>
        <v>Middle Age</v>
      </c>
      <c r="G713" t="s">
        <v>24</v>
      </c>
      <c r="H713" t="s">
        <v>17</v>
      </c>
      <c r="I713" t="s">
        <v>70</v>
      </c>
      <c r="J713" t="s">
        <v>71</v>
      </c>
      <c r="K713">
        <v>6</v>
      </c>
      <c r="L713">
        <v>27885.58</v>
      </c>
      <c r="M713">
        <v>167313.48000000001</v>
      </c>
      <c r="N713">
        <f t="shared" si="34"/>
        <v>167313.48000000001</v>
      </c>
      <c r="O713" t="str">
        <f t="shared" si="35"/>
        <v>Medium</v>
      </c>
    </row>
    <row r="714" spans="1:15" x14ac:dyDescent="0.25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tr">
        <f t="shared" si="33"/>
        <v>Adult</v>
      </c>
      <c r="G714" t="s">
        <v>24</v>
      </c>
      <c r="H714" t="s">
        <v>35</v>
      </c>
      <c r="I714" t="s">
        <v>36</v>
      </c>
      <c r="J714" t="s">
        <v>37</v>
      </c>
      <c r="K714">
        <v>10</v>
      </c>
      <c r="L714">
        <v>47079.86</v>
      </c>
      <c r="M714">
        <v>470798.6</v>
      </c>
      <c r="N714">
        <f t="shared" si="34"/>
        <v>470798.6</v>
      </c>
      <c r="O714" t="str">
        <f t="shared" si="35"/>
        <v>High</v>
      </c>
    </row>
    <row r="715" spans="1:15" x14ac:dyDescent="0.25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tr">
        <f t="shared" si="33"/>
        <v>Young Adult</v>
      </c>
      <c r="G715" t="s">
        <v>16</v>
      </c>
      <c r="H715" t="s">
        <v>35</v>
      </c>
      <c r="I715" t="s">
        <v>25</v>
      </c>
      <c r="J715" t="s">
        <v>26</v>
      </c>
      <c r="K715">
        <v>2</v>
      </c>
      <c r="L715">
        <v>30201.81</v>
      </c>
      <c r="M715">
        <v>60403.62</v>
      </c>
      <c r="N715">
        <f t="shared" si="34"/>
        <v>60403.62</v>
      </c>
      <c r="O715" t="str">
        <f t="shared" si="35"/>
        <v>Low</v>
      </c>
    </row>
    <row r="716" spans="1:15" x14ac:dyDescent="0.25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tr">
        <f t="shared" si="33"/>
        <v>Middle Age</v>
      </c>
      <c r="G716" t="s">
        <v>16</v>
      </c>
      <c r="H716" t="s">
        <v>51</v>
      </c>
      <c r="I716" t="s">
        <v>70</v>
      </c>
      <c r="J716" t="s">
        <v>71</v>
      </c>
      <c r="K716">
        <v>6</v>
      </c>
      <c r="L716">
        <v>32890.28</v>
      </c>
      <c r="M716">
        <v>197341.68</v>
      </c>
      <c r="N716">
        <f t="shared" si="34"/>
        <v>197341.68</v>
      </c>
      <c r="O716" t="str">
        <f t="shared" si="35"/>
        <v>Medium</v>
      </c>
    </row>
    <row r="717" spans="1:15" x14ac:dyDescent="0.25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tr">
        <f t="shared" si="33"/>
        <v>Adult</v>
      </c>
      <c r="G717" t="s">
        <v>16</v>
      </c>
      <c r="H717" t="s">
        <v>17</v>
      </c>
      <c r="I717" t="s">
        <v>36</v>
      </c>
      <c r="J717" t="s">
        <v>37</v>
      </c>
      <c r="K717">
        <v>1</v>
      </c>
      <c r="L717">
        <v>39342.980000000003</v>
      </c>
      <c r="M717">
        <v>39342.980000000003</v>
      </c>
      <c r="N717">
        <f t="shared" si="34"/>
        <v>39342.980000000003</v>
      </c>
      <c r="O717" t="str">
        <f t="shared" si="35"/>
        <v>Low</v>
      </c>
    </row>
    <row r="718" spans="1:15" x14ac:dyDescent="0.25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tr">
        <f t="shared" si="33"/>
        <v>Middle Age</v>
      </c>
      <c r="G718" t="s">
        <v>24</v>
      </c>
      <c r="H718" t="s">
        <v>115</v>
      </c>
      <c r="I718" t="s">
        <v>70</v>
      </c>
      <c r="J718" t="s">
        <v>71</v>
      </c>
      <c r="K718">
        <v>5</v>
      </c>
      <c r="L718">
        <v>42114.22</v>
      </c>
      <c r="M718">
        <v>210571.1</v>
      </c>
      <c r="N718">
        <f t="shared" si="34"/>
        <v>210571.1</v>
      </c>
      <c r="O718" t="str">
        <f t="shared" si="35"/>
        <v>Medium</v>
      </c>
    </row>
    <row r="719" spans="1:15" x14ac:dyDescent="0.25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tr">
        <f t="shared" si="33"/>
        <v>Adult</v>
      </c>
      <c r="G719" t="s">
        <v>24</v>
      </c>
      <c r="H719" t="s">
        <v>115</v>
      </c>
      <c r="I719" t="s">
        <v>76</v>
      </c>
      <c r="J719" t="s">
        <v>77</v>
      </c>
      <c r="K719">
        <v>5</v>
      </c>
      <c r="L719">
        <v>15011.99</v>
      </c>
      <c r="M719">
        <v>75059.95</v>
      </c>
      <c r="N719">
        <f t="shared" si="34"/>
        <v>75059.95</v>
      </c>
      <c r="O719" t="str">
        <f t="shared" si="35"/>
        <v>Low</v>
      </c>
    </row>
    <row r="720" spans="1:15" x14ac:dyDescent="0.25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tr">
        <f t="shared" si="33"/>
        <v>Adult</v>
      </c>
      <c r="G720" t="s">
        <v>16</v>
      </c>
      <c r="H720" t="s">
        <v>60</v>
      </c>
      <c r="I720" t="s">
        <v>18</v>
      </c>
      <c r="J720" t="s">
        <v>19</v>
      </c>
      <c r="K720">
        <v>4</v>
      </c>
      <c r="L720">
        <v>42642.59</v>
      </c>
      <c r="M720">
        <v>170570.36</v>
      </c>
      <c r="N720">
        <f t="shared" si="34"/>
        <v>170570.36</v>
      </c>
      <c r="O720" t="str">
        <f t="shared" si="35"/>
        <v>Medium</v>
      </c>
    </row>
    <row r="721" spans="1:15" x14ac:dyDescent="0.25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tr">
        <f t="shared" si="33"/>
        <v>Adult</v>
      </c>
      <c r="G721" t="s">
        <v>24</v>
      </c>
      <c r="H721" t="s">
        <v>51</v>
      </c>
      <c r="I721" t="s">
        <v>18</v>
      </c>
      <c r="J721" t="s">
        <v>19</v>
      </c>
      <c r="K721">
        <v>6</v>
      </c>
      <c r="L721">
        <v>27168.79</v>
      </c>
      <c r="M721">
        <v>163012.74</v>
      </c>
      <c r="N721">
        <f t="shared" si="34"/>
        <v>163012.74</v>
      </c>
      <c r="O721" t="str">
        <f t="shared" si="35"/>
        <v>Low</v>
      </c>
    </row>
    <row r="722" spans="1:15" x14ac:dyDescent="0.25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tr">
        <f t="shared" si="33"/>
        <v>Adult</v>
      </c>
      <c r="G722" t="s">
        <v>24</v>
      </c>
      <c r="H722" t="s">
        <v>69</v>
      </c>
      <c r="I722" t="s">
        <v>18</v>
      </c>
      <c r="J722" t="s">
        <v>19</v>
      </c>
      <c r="K722">
        <v>7</v>
      </c>
      <c r="L722">
        <v>31567.62</v>
      </c>
      <c r="M722">
        <v>220973.34</v>
      </c>
      <c r="N722">
        <f t="shared" si="34"/>
        <v>220973.34</v>
      </c>
      <c r="O722" t="str">
        <f t="shared" si="35"/>
        <v>Medium</v>
      </c>
    </row>
    <row r="723" spans="1:15" x14ac:dyDescent="0.25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tr">
        <f t="shared" si="33"/>
        <v>Senior</v>
      </c>
      <c r="G723" t="s">
        <v>16</v>
      </c>
      <c r="H723" t="s">
        <v>69</v>
      </c>
      <c r="I723" t="s">
        <v>47</v>
      </c>
      <c r="J723" t="s">
        <v>37</v>
      </c>
      <c r="K723">
        <v>10</v>
      </c>
      <c r="L723">
        <v>44401.64</v>
      </c>
      <c r="M723">
        <v>444016.4</v>
      </c>
      <c r="N723">
        <f t="shared" si="34"/>
        <v>444016.4</v>
      </c>
      <c r="O723" t="str">
        <f t="shared" si="35"/>
        <v>High</v>
      </c>
    </row>
    <row r="724" spans="1:15" x14ac:dyDescent="0.25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tr">
        <f t="shared" si="33"/>
        <v>Middle Age</v>
      </c>
      <c r="G724" t="s">
        <v>24</v>
      </c>
      <c r="H724" t="s">
        <v>69</v>
      </c>
      <c r="I724" t="s">
        <v>18</v>
      </c>
      <c r="J724" t="s">
        <v>19</v>
      </c>
      <c r="K724">
        <v>2</v>
      </c>
      <c r="L724">
        <v>5467.01</v>
      </c>
      <c r="M724">
        <v>10934.02</v>
      </c>
      <c r="N724">
        <f t="shared" si="34"/>
        <v>10934.02</v>
      </c>
      <c r="O724" t="str">
        <f t="shared" si="35"/>
        <v>Low</v>
      </c>
    </row>
    <row r="725" spans="1:15" x14ac:dyDescent="0.25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tr">
        <f t="shared" si="33"/>
        <v>Adult</v>
      </c>
      <c r="G725" t="s">
        <v>16</v>
      </c>
      <c r="H725" t="s">
        <v>35</v>
      </c>
      <c r="I725" t="s">
        <v>47</v>
      </c>
      <c r="J725" t="s">
        <v>37</v>
      </c>
      <c r="K725">
        <v>7</v>
      </c>
      <c r="L725">
        <v>40635.519999999997</v>
      </c>
      <c r="M725">
        <v>284448.64000000001</v>
      </c>
      <c r="N725">
        <f t="shared" si="34"/>
        <v>284448.63999999996</v>
      </c>
      <c r="O725" t="str">
        <f t="shared" si="35"/>
        <v>Medium</v>
      </c>
    </row>
    <row r="726" spans="1:15" x14ac:dyDescent="0.25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tr">
        <f t="shared" si="33"/>
        <v>Adult</v>
      </c>
      <c r="G726" t="s">
        <v>24</v>
      </c>
      <c r="H726" t="s">
        <v>115</v>
      </c>
      <c r="I726" t="s">
        <v>70</v>
      </c>
      <c r="J726" t="s">
        <v>71</v>
      </c>
      <c r="K726">
        <v>7</v>
      </c>
      <c r="L726">
        <v>26916.23</v>
      </c>
      <c r="M726">
        <v>188413.61</v>
      </c>
      <c r="N726">
        <f t="shared" si="34"/>
        <v>188413.61</v>
      </c>
      <c r="O726" t="str">
        <f t="shared" si="35"/>
        <v>Medium</v>
      </c>
    </row>
    <row r="727" spans="1:15" x14ac:dyDescent="0.25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tr">
        <f t="shared" si="33"/>
        <v>Adult</v>
      </c>
      <c r="G727" t="s">
        <v>16</v>
      </c>
      <c r="H727" t="s">
        <v>35</v>
      </c>
      <c r="I727" t="s">
        <v>76</v>
      </c>
      <c r="J727" t="s">
        <v>77</v>
      </c>
      <c r="K727">
        <v>5</v>
      </c>
      <c r="L727">
        <v>24409.5</v>
      </c>
      <c r="M727">
        <v>122047.5</v>
      </c>
      <c r="N727">
        <f t="shared" si="34"/>
        <v>122047.5</v>
      </c>
      <c r="O727" t="str">
        <f t="shared" si="35"/>
        <v>Low</v>
      </c>
    </row>
    <row r="728" spans="1:15" x14ac:dyDescent="0.25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tr">
        <f t="shared" si="33"/>
        <v>Adult</v>
      </c>
      <c r="G728" t="s">
        <v>24</v>
      </c>
      <c r="H728" t="s">
        <v>51</v>
      </c>
      <c r="I728" t="s">
        <v>76</v>
      </c>
      <c r="J728" t="s">
        <v>77</v>
      </c>
      <c r="K728">
        <v>10</v>
      </c>
      <c r="L728">
        <v>19600.310000000001</v>
      </c>
      <c r="M728">
        <v>196003.1</v>
      </c>
      <c r="N728">
        <f t="shared" si="34"/>
        <v>196003.1</v>
      </c>
      <c r="O728" t="str">
        <f t="shared" si="35"/>
        <v>Medium</v>
      </c>
    </row>
    <row r="729" spans="1:15" x14ac:dyDescent="0.25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tr">
        <f t="shared" si="33"/>
        <v>Senior</v>
      </c>
      <c r="G729" t="s">
        <v>16</v>
      </c>
      <c r="H729" t="s">
        <v>35</v>
      </c>
      <c r="I729" t="s">
        <v>25</v>
      </c>
      <c r="J729" t="s">
        <v>26</v>
      </c>
      <c r="K729">
        <v>3</v>
      </c>
      <c r="L729">
        <v>40119.65</v>
      </c>
      <c r="M729">
        <v>120358.95</v>
      </c>
      <c r="N729">
        <f t="shared" si="34"/>
        <v>120358.95000000001</v>
      </c>
      <c r="O729" t="str">
        <f t="shared" si="35"/>
        <v>Low</v>
      </c>
    </row>
    <row r="730" spans="1:15" x14ac:dyDescent="0.25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tr">
        <f t="shared" si="33"/>
        <v>Middle Age</v>
      </c>
      <c r="G730" t="s">
        <v>16</v>
      </c>
      <c r="H730" t="s">
        <v>35</v>
      </c>
      <c r="I730" t="s">
        <v>76</v>
      </c>
      <c r="J730" t="s">
        <v>77</v>
      </c>
      <c r="K730">
        <v>5</v>
      </c>
      <c r="L730">
        <v>33187.56</v>
      </c>
      <c r="M730">
        <v>165937.79999999999</v>
      </c>
      <c r="N730">
        <f t="shared" si="34"/>
        <v>165937.79999999999</v>
      </c>
      <c r="O730" t="str">
        <f t="shared" si="35"/>
        <v>Medium</v>
      </c>
    </row>
    <row r="731" spans="1:15" x14ac:dyDescent="0.25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tr">
        <f t="shared" si="33"/>
        <v>Young Adult</v>
      </c>
      <c r="G731" t="s">
        <v>16</v>
      </c>
      <c r="H731" t="s">
        <v>102</v>
      </c>
      <c r="I731" t="s">
        <v>25</v>
      </c>
      <c r="J731" t="s">
        <v>26</v>
      </c>
      <c r="K731">
        <v>3</v>
      </c>
      <c r="L731">
        <v>26807.040000000001</v>
      </c>
      <c r="M731">
        <v>80421.119999999995</v>
      </c>
      <c r="N731">
        <f t="shared" si="34"/>
        <v>80421.119999999995</v>
      </c>
      <c r="O731" t="str">
        <f t="shared" si="35"/>
        <v>Low</v>
      </c>
    </row>
    <row r="732" spans="1:15" x14ac:dyDescent="0.25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tr">
        <f t="shared" si="33"/>
        <v>Senior</v>
      </c>
      <c r="G732" t="s">
        <v>16</v>
      </c>
      <c r="H732" t="s">
        <v>46</v>
      </c>
      <c r="I732" t="s">
        <v>70</v>
      </c>
      <c r="J732" t="s">
        <v>71</v>
      </c>
      <c r="K732">
        <v>1</v>
      </c>
      <c r="L732">
        <v>19202.88</v>
      </c>
      <c r="M732">
        <v>19202.88</v>
      </c>
      <c r="N732">
        <f t="shared" si="34"/>
        <v>19202.88</v>
      </c>
      <c r="O732" t="str">
        <f t="shared" si="35"/>
        <v>Low</v>
      </c>
    </row>
    <row r="733" spans="1:15" x14ac:dyDescent="0.25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tr">
        <f t="shared" si="33"/>
        <v>Young Adult</v>
      </c>
      <c r="G733" t="s">
        <v>24</v>
      </c>
      <c r="H733" t="s">
        <v>115</v>
      </c>
      <c r="I733" t="s">
        <v>76</v>
      </c>
      <c r="J733" t="s">
        <v>77</v>
      </c>
      <c r="K733">
        <v>6</v>
      </c>
      <c r="L733">
        <v>27085.46</v>
      </c>
      <c r="M733">
        <v>162512.76</v>
      </c>
      <c r="N733">
        <f t="shared" si="34"/>
        <v>162512.76</v>
      </c>
      <c r="O733" t="str">
        <f t="shared" si="35"/>
        <v>Low</v>
      </c>
    </row>
    <row r="734" spans="1:15" x14ac:dyDescent="0.25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tr">
        <f t="shared" si="33"/>
        <v>Adult</v>
      </c>
      <c r="G734" t="s">
        <v>16</v>
      </c>
      <c r="H734" t="s">
        <v>102</v>
      </c>
      <c r="I734" t="s">
        <v>76</v>
      </c>
      <c r="J734" t="s">
        <v>77</v>
      </c>
      <c r="K734">
        <v>3</v>
      </c>
      <c r="L734">
        <v>24462.54</v>
      </c>
      <c r="M734">
        <v>73387.62</v>
      </c>
      <c r="N734">
        <f t="shared" si="34"/>
        <v>73387.62</v>
      </c>
      <c r="O734" t="str">
        <f t="shared" si="35"/>
        <v>Low</v>
      </c>
    </row>
    <row r="735" spans="1:15" x14ac:dyDescent="0.25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tr">
        <f t="shared" si="33"/>
        <v>Adult</v>
      </c>
      <c r="G735" t="s">
        <v>24</v>
      </c>
      <c r="H735" t="s">
        <v>17</v>
      </c>
      <c r="I735" t="s">
        <v>18</v>
      </c>
      <c r="J735" t="s">
        <v>19</v>
      </c>
      <c r="K735">
        <v>6</v>
      </c>
      <c r="L735">
        <v>25359.39</v>
      </c>
      <c r="M735">
        <v>152156.34</v>
      </c>
      <c r="N735">
        <f t="shared" si="34"/>
        <v>152156.34</v>
      </c>
      <c r="O735" t="str">
        <f t="shared" si="35"/>
        <v>Low</v>
      </c>
    </row>
    <row r="736" spans="1:15" x14ac:dyDescent="0.25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tr">
        <f t="shared" si="33"/>
        <v>Adult</v>
      </c>
      <c r="G736" t="s">
        <v>16</v>
      </c>
      <c r="H736" t="s">
        <v>102</v>
      </c>
      <c r="I736" t="s">
        <v>36</v>
      </c>
      <c r="J736" t="s">
        <v>37</v>
      </c>
      <c r="K736">
        <v>6</v>
      </c>
      <c r="L736">
        <v>19210.66</v>
      </c>
      <c r="M736">
        <v>115263.96</v>
      </c>
      <c r="N736">
        <f t="shared" si="34"/>
        <v>115263.95999999999</v>
      </c>
      <c r="O736" t="str">
        <f t="shared" si="35"/>
        <v>Low</v>
      </c>
    </row>
    <row r="737" spans="1:15" x14ac:dyDescent="0.25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tr">
        <f t="shared" si="33"/>
        <v>Middle Age</v>
      </c>
      <c r="G737" t="s">
        <v>16</v>
      </c>
      <c r="H737" t="s">
        <v>35</v>
      </c>
      <c r="I737" t="s">
        <v>18</v>
      </c>
      <c r="J737" t="s">
        <v>19</v>
      </c>
      <c r="K737">
        <v>5</v>
      </c>
      <c r="L737">
        <v>414.13</v>
      </c>
      <c r="M737">
        <v>2070.65</v>
      </c>
      <c r="N737">
        <f t="shared" si="34"/>
        <v>2070.65</v>
      </c>
      <c r="O737" t="str">
        <f t="shared" si="35"/>
        <v>Low</v>
      </c>
    </row>
    <row r="738" spans="1:15" x14ac:dyDescent="0.25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tr">
        <f t="shared" si="33"/>
        <v>Young Adult</v>
      </c>
      <c r="G738" t="s">
        <v>24</v>
      </c>
      <c r="H738" t="s">
        <v>35</v>
      </c>
      <c r="I738" t="s">
        <v>47</v>
      </c>
      <c r="J738" t="s">
        <v>37</v>
      </c>
      <c r="K738">
        <v>6</v>
      </c>
      <c r="L738">
        <v>9761.4599999999991</v>
      </c>
      <c r="M738">
        <v>58568.76</v>
      </c>
      <c r="N738">
        <f t="shared" si="34"/>
        <v>58568.759999999995</v>
      </c>
      <c r="O738" t="str">
        <f t="shared" si="35"/>
        <v>Low</v>
      </c>
    </row>
    <row r="739" spans="1:15" x14ac:dyDescent="0.25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tr">
        <f t="shared" si="33"/>
        <v>Senior</v>
      </c>
      <c r="G739" t="s">
        <v>16</v>
      </c>
      <c r="H739" t="s">
        <v>46</v>
      </c>
      <c r="I739" t="s">
        <v>18</v>
      </c>
      <c r="J739" t="s">
        <v>19</v>
      </c>
      <c r="K739">
        <v>4</v>
      </c>
      <c r="L739">
        <v>19284.599999999999</v>
      </c>
      <c r="M739">
        <v>77138.399999999994</v>
      </c>
      <c r="N739">
        <f t="shared" si="34"/>
        <v>77138.399999999994</v>
      </c>
      <c r="O739" t="str">
        <f t="shared" si="35"/>
        <v>Low</v>
      </c>
    </row>
    <row r="740" spans="1:15" x14ac:dyDescent="0.25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tr">
        <f t="shared" si="33"/>
        <v>Middle Age</v>
      </c>
      <c r="G740" t="s">
        <v>24</v>
      </c>
      <c r="H740" t="s">
        <v>69</v>
      </c>
      <c r="I740" t="s">
        <v>47</v>
      </c>
      <c r="J740" t="s">
        <v>37</v>
      </c>
      <c r="K740">
        <v>4</v>
      </c>
      <c r="L740">
        <v>21098.23</v>
      </c>
      <c r="M740">
        <v>84392.92</v>
      </c>
      <c r="N740">
        <f t="shared" si="34"/>
        <v>84392.92</v>
      </c>
      <c r="O740" t="str">
        <f t="shared" si="35"/>
        <v>Low</v>
      </c>
    </row>
    <row r="741" spans="1:15" x14ac:dyDescent="0.25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tr">
        <f t="shared" si="33"/>
        <v>Senior</v>
      </c>
      <c r="G741" t="s">
        <v>24</v>
      </c>
      <c r="H741" t="s">
        <v>35</v>
      </c>
      <c r="I741" t="s">
        <v>76</v>
      </c>
      <c r="J741" t="s">
        <v>77</v>
      </c>
      <c r="K741">
        <v>2</v>
      </c>
      <c r="L741">
        <v>1876.89</v>
      </c>
      <c r="M741">
        <v>3753.78</v>
      </c>
      <c r="N741">
        <f t="shared" si="34"/>
        <v>3753.78</v>
      </c>
      <c r="O741" t="str">
        <f t="shared" si="35"/>
        <v>Low</v>
      </c>
    </row>
    <row r="742" spans="1:15" x14ac:dyDescent="0.25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tr">
        <f t="shared" si="33"/>
        <v>Adult</v>
      </c>
      <c r="G742" t="s">
        <v>24</v>
      </c>
      <c r="H742" t="s">
        <v>115</v>
      </c>
      <c r="I742" t="s">
        <v>18</v>
      </c>
      <c r="J742" t="s">
        <v>19</v>
      </c>
      <c r="K742">
        <v>7</v>
      </c>
      <c r="L742">
        <v>9084.0300000000007</v>
      </c>
      <c r="M742">
        <v>63588.21</v>
      </c>
      <c r="N742">
        <f t="shared" si="34"/>
        <v>63588.210000000006</v>
      </c>
      <c r="O742" t="str">
        <f t="shared" si="35"/>
        <v>Low</v>
      </c>
    </row>
    <row r="743" spans="1:15" x14ac:dyDescent="0.25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tr">
        <f t="shared" si="33"/>
        <v>Middle Age</v>
      </c>
      <c r="G743" t="s">
        <v>16</v>
      </c>
      <c r="H743" t="s">
        <v>102</v>
      </c>
      <c r="I743" t="s">
        <v>18</v>
      </c>
      <c r="J743" t="s">
        <v>19</v>
      </c>
      <c r="K743">
        <v>3</v>
      </c>
      <c r="L743">
        <v>45959.58</v>
      </c>
      <c r="M743">
        <v>137878.74</v>
      </c>
      <c r="N743">
        <f t="shared" si="34"/>
        <v>137878.74</v>
      </c>
      <c r="O743" t="str">
        <f t="shared" si="35"/>
        <v>Low</v>
      </c>
    </row>
    <row r="744" spans="1:15" x14ac:dyDescent="0.25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tr">
        <f t="shared" si="33"/>
        <v>Adult</v>
      </c>
      <c r="G744" t="s">
        <v>24</v>
      </c>
      <c r="H744" t="s">
        <v>115</v>
      </c>
      <c r="I744" t="s">
        <v>76</v>
      </c>
      <c r="J744" t="s">
        <v>77</v>
      </c>
      <c r="K744">
        <v>8</v>
      </c>
      <c r="L744">
        <v>8692.39</v>
      </c>
      <c r="M744">
        <v>69539.12</v>
      </c>
      <c r="N744">
        <f t="shared" si="34"/>
        <v>69539.12</v>
      </c>
      <c r="O744" t="str">
        <f t="shared" si="35"/>
        <v>Low</v>
      </c>
    </row>
    <row r="745" spans="1:15" x14ac:dyDescent="0.25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tr">
        <f t="shared" si="33"/>
        <v>Young Adult</v>
      </c>
      <c r="G745" t="s">
        <v>24</v>
      </c>
      <c r="H745" t="s">
        <v>51</v>
      </c>
      <c r="I745" t="s">
        <v>47</v>
      </c>
      <c r="J745" t="s">
        <v>37</v>
      </c>
      <c r="K745">
        <v>7</v>
      </c>
      <c r="L745">
        <v>45703.28</v>
      </c>
      <c r="M745">
        <v>319922.96000000002</v>
      </c>
      <c r="N745">
        <f t="shared" si="34"/>
        <v>319922.95999999996</v>
      </c>
      <c r="O745" t="str">
        <f t="shared" si="35"/>
        <v>Medium</v>
      </c>
    </row>
    <row r="746" spans="1:15" x14ac:dyDescent="0.25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tr">
        <f t="shared" si="33"/>
        <v>Young Adult</v>
      </c>
      <c r="G746" t="s">
        <v>24</v>
      </c>
      <c r="H746" t="s">
        <v>115</v>
      </c>
      <c r="I746" t="s">
        <v>36</v>
      </c>
      <c r="J746" t="s">
        <v>37</v>
      </c>
      <c r="K746">
        <v>4</v>
      </c>
      <c r="L746">
        <v>30973.53</v>
      </c>
      <c r="M746">
        <v>123894.12</v>
      </c>
      <c r="N746">
        <f t="shared" si="34"/>
        <v>123894.12</v>
      </c>
      <c r="O746" t="str">
        <f t="shared" si="35"/>
        <v>Low</v>
      </c>
    </row>
    <row r="747" spans="1:15" x14ac:dyDescent="0.25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tr">
        <f t="shared" si="33"/>
        <v>Middle Age</v>
      </c>
      <c r="G747" t="s">
        <v>24</v>
      </c>
      <c r="H747" t="s">
        <v>51</v>
      </c>
      <c r="I747" t="s">
        <v>76</v>
      </c>
      <c r="J747" t="s">
        <v>77</v>
      </c>
      <c r="K747">
        <v>5</v>
      </c>
      <c r="L747">
        <v>49147.41</v>
      </c>
      <c r="M747">
        <v>245737.05</v>
      </c>
      <c r="N747">
        <f t="shared" si="34"/>
        <v>245737.05000000002</v>
      </c>
      <c r="O747" t="str">
        <f t="shared" si="35"/>
        <v>Medium</v>
      </c>
    </row>
    <row r="748" spans="1:15" x14ac:dyDescent="0.25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tr">
        <f t="shared" si="33"/>
        <v>Senior</v>
      </c>
      <c r="G748" t="s">
        <v>24</v>
      </c>
      <c r="H748" t="s">
        <v>102</v>
      </c>
      <c r="I748" t="s">
        <v>47</v>
      </c>
      <c r="J748" t="s">
        <v>37</v>
      </c>
      <c r="K748">
        <v>10</v>
      </c>
      <c r="L748">
        <v>17533.55</v>
      </c>
      <c r="M748">
        <v>175335.5</v>
      </c>
      <c r="N748">
        <f t="shared" si="34"/>
        <v>175335.5</v>
      </c>
      <c r="O748" t="str">
        <f t="shared" si="35"/>
        <v>Medium</v>
      </c>
    </row>
    <row r="749" spans="1:15" x14ac:dyDescent="0.25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tr">
        <f t="shared" si="33"/>
        <v>Young Adult</v>
      </c>
      <c r="G749" t="s">
        <v>16</v>
      </c>
      <c r="H749" t="s">
        <v>35</v>
      </c>
      <c r="I749" t="s">
        <v>47</v>
      </c>
      <c r="J749" t="s">
        <v>37</v>
      </c>
      <c r="K749">
        <v>5</v>
      </c>
      <c r="L749">
        <v>18457.22</v>
      </c>
      <c r="M749">
        <v>92286.1</v>
      </c>
      <c r="N749">
        <f t="shared" si="34"/>
        <v>92286.1</v>
      </c>
      <c r="O749" t="str">
        <f t="shared" si="35"/>
        <v>Low</v>
      </c>
    </row>
    <row r="750" spans="1:15" x14ac:dyDescent="0.25">
      <c r="A750" t="s">
        <v>2187</v>
      </c>
      <c r="B750" t="s">
        <v>794</v>
      </c>
      <c r="C750" t="s">
        <v>2188</v>
      </c>
      <c r="D750" t="s">
        <v>659</v>
      </c>
      <c r="E750">
        <v>41</v>
      </c>
      <c r="F750" t="str">
        <f t="shared" si="33"/>
        <v>Middle Age</v>
      </c>
      <c r="G750" t="s">
        <v>16</v>
      </c>
      <c r="I750" t="s">
        <v>76</v>
      </c>
      <c r="J750" t="s">
        <v>77</v>
      </c>
      <c r="K750">
        <v>10</v>
      </c>
      <c r="L750">
        <v>43808.06</v>
      </c>
      <c r="M750">
        <v>438080.6</v>
      </c>
      <c r="N750">
        <f t="shared" si="34"/>
        <v>438080.6</v>
      </c>
      <c r="O750" t="str">
        <f t="shared" si="35"/>
        <v>High</v>
      </c>
    </row>
    <row r="751" spans="1:15" x14ac:dyDescent="0.25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tr">
        <f t="shared" si="33"/>
        <v>Senior</v>
      </c>
      <c r="G751" t="s">
        <v>16</v>
      </c>
      <c r="H751" t="s">
        <v>115</v>
      </c>
      <c r="I751" t="s">
        <v>25</v>
      </c>
      <c r="J751" t="s">
        <v>26</v>
      </c>
      <c r="K751">
        <v>6</v>
      </c>
      <c r="L751">
        <v>24375.93</v>
      </c>
      <c r="M751">
        <v>146255.57999999999</v>
      </c>
      <c r="N751">
        <f t="shared" si="34"/>
        <v>146255.58000000002</v>
      </c>
      <c r="O751" t="str">
        <f t="shared" si="35"/>
        <v>Low</v>
      </c>
    </row>
    <row r="752" spans="1:15" x14ac:dyDescent="0.25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tr">
        <f t="shared" si="33"/>
        <v>Adult</v>
      </c>
      <c r="G752" t="s">
        <v>24</v>
      </c>
      <c r="H752" t="s">
        <v>51</v>
      </c>
      <c r="I752" t="s">
        <v>70</v>
      </c>
      <c r="J752" t="s">
        <v>71</v>
      </c>
      <c r="K752">
        <v>4</v>
      </c>
      <c r="L752">
        <v>34969.019999999997</v>
      </c>
      <c r="M752">
        <v>139876.07999999999</v>
      </c>
      <c r="N752">
        <f t="shared" si="34"/>
        <v>139876.07999999999</v>
      </c>
      <c r="O752" t="str">
        <f t="shared" si="35"/>
        <v>Low</v>
      </c>
    </row>
    <row r="753" spans="1:15" x14ac:dyDescent="0.25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tr">
        <f t="shared" si="33"/>
        <v>Adult</v>
      </c>
      <c r="G753" t="s">
        <v>16</v>
      </c>
      <c r="H753" t="s">
        <v>46</v>
      </c>
      <c r="I753" t="s">
        <v>25</v>
      </c>
      <c r="J753" t="s">
        <v>26</v>
      </c>
      <c r="K753">
        <v>1</v>
      </c>
      <c r="L753">
        <v>17299.04</v>
      </c>
      <c r="M753">
        <v>17299.04</v>
      </c>
      <c r="N753">
        <f t="shared" si="34"/>
        <v>17299.04</v>
      </c>
      <c r="O753" t="str">
        <f t="shared" si="35"/>
        <v>Low</v>
      </c>
    </row>
    <row r="754" spans="1:15" x14ac:dyDescent="0.25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tr">
        <f t="shared" si="33"/>
        <v>Adult</v>
      </c>
      <c r="G754" t="s">
        <v>24</v>
      </c>
      <c r="H754" t="s">
        <v>35</v>
      </c>
      <c r="I754" t="s">
        <v>36</v>
      </c>
      <c r="J754" t="s">
        <v>37</v>
      </c>
      <c r="K754">
        <v>5</v>
      </c>
      <c r="L754">
        <v>10274.450000000001</v>
      </c>
      <c r="M754">
        <v>51372.25</v>
      </c>
      <c r="N754">
        <f t="shared" si="34"/>
        <v>51372.25</v>
      </c>
      <c r="O754" t="str">
        <f t="shared" si="35"/>
        <v>Low</v>
      </c>
    </row>
    <row r="755" spans="1:15" x14ac:dyDescent="0.25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tr">
        <f t="shared" si="33"/>
        <v>Senior</v>
      </c>
      <c r="G755" t="s">
        <v>16</v>
      </c>
      <c r="H755" t="s">
        <v>69</v>
      </c>
      <c r="I755" t="s">
        <v>25</v>
      </c>
      <c r="J755" t="s">
        <v>26</v>
      </c>
      <c r="K755">
        <v>10</v>
      </c>
      <c r="L755">
        <v>24270.17</v>
      </c>
      <c r="M755">
        <v>242701.7</v>
      </c>
      <c r="N755">
        <f t="shared" si="34"/>
        <v>242701.69999999998</v>
      </c>
      <c r="O755" t="str">
        <f t="shared" si="35"/>
        <v>Medium</v>
      </c>
    </row>
    <row r="756" spans="1:15" x14ac:dyDescent="0.25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tr">
        <f t="shared" si="33"/>
        <v>Senior</v>
      </c>
      <c r="G756" t="s">
        <v>24</v>
      </c>
      <c r="H756" t="s">
        <v>51</v>
      </c>
      <c r="I756" t="s">
        <v>18</v>
      </c>
      <c r="J756" t="s">
        <v>19</v>
      </c>
      <c r="K756">
        <v>10</v>
      </c>
      <c r="L756">
        <v>2066.9299999999998</v>
      </c>
      <c r="M756">
        <v>20669.3</v>
      </c>
      <c r="N756">
        <f t="shared" si="34"/>
        <v>20669.3</v>
      </c>
      <c r="O756" t="str">
        <f t="shared" si="35"/>
        <v>Low</v>
      </c>
    </row>
    <row r="757" spans="1:15" x14ac:dyDescent="0.25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tr">
        <f t="shared" si="33"/>
        <v>Adult</v>
      </c>
      <c r="G757" t="s">
        <v>16</v>
      </c>
      <c r="H757" t="s">
        <v>35</v>
      </c>
      <c r="I757" t="s">
        <v>76</v>
      </c>
      <c r="J757" t="s">
        <v>77</v>
      </c>
      <c r="K757">
        <v>10</v>
      </c>
      <c r="L757">
        <v>13304.47</v>
      </c>
      <c r="M757">
        <v>133044.70000000001</v>
      </c>
      <c r="N757">
        <f t="shared" si="34"/>
        <v>133044.69999999998</v>
      </c>
      <c r="O757" t="str">
        <f t="shared" si="35"/>
        <v>Low</v>
      </c>
    </row>
    <row r="758" spans="1:15" x14ac:dyDescent="0.25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tr">
        <f t="shared" si="33"/>
        <v>Young Adult</v>
      </c>
      <c r="G758" t="s">
        <v>24</v>
      </c>
      <c r="H758" t="s">
        <v>46</v>
      </c>
      <c r="I758" t="s">
        <v>36</v>
      </c>
      <c r="J758" t="s">
        <v>37</v>
      </c>
      <c r="K758">
        <v>5</v>
      </c>
      <c r="L758">
        <v>9442.5</v>
      </c>
      <c r="M758">
        <v>47212.5</v>
      </c>
      <c r="N758">
        <f t="shared" si="34"/>
        <v>47212.5</v>
      </c>
      <c r="O758" t="str">
        <f t="shared" si="35"/>
        <v>Low</v>
      </c>
    </row>
    <row r="759" spans="1:15" x14ac:dyDescent="0.25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tr">
        <f t="shared" si="33"/>
        <v>Young Adult</v>
      </c>
      <c r="G759" t="s">
        <v>16</v>
      </c>
      <c r="H759" t="s">
        <v>35</v>
      </c>
      <c r="I759" t="s">
        <v>36</v>
      </c>
      <c r="J759" t="s">
        <v>37</v>
      </c>
      <c r="K759">
        <v>10</v>
      </c>
      <c r="L759">
        <v>25698.62</v>
      </c>
      <c r="M759">
        <v>256986.2</v>
      </c>
      <c r="N759">
        <f t="shared" si="34"/>
        <v>256986.19999999998</v>
      </c>
      <c r="O759" t="str">
        <f t="shared" si="35"/>
        <v>Medium</v>
      </c>
    </row>
    <row r="760" spans="1:15" x14ac:dyDescent="0.25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tr">
        <f t="shared" si="33"/>
        <v>Senior</v>
      </c>
      <c r="G760" t="s">
        <v>24</v>
      </c>
      <c r="H760" t="s">
        <v>46</v>
      </c>
      <c r="I760" t="s">
        <v>70</v>
      </c>
      <c r="J760" t="s">
        <v>71</v>
      </c>
      <c r="K760">
        <v>8</v>
      </c>
      <c r="L760">
        <v>32219.95</v>
      </c>
      <c r="M760">
        <v>257759.6</v>
      </c>
      <c r="N760">
        <f t="shared" si="34"/>
        <v>257759.6</v>
      </c>
      <c r="O760" t="str">
        <f t="shared" si="35"/>
        <v>Medium</v>
      </c>
    </row>
    <row r="761" spans="1:15" x14ac:dyDescent="0.25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tr">
        <f t="shared" si="33"/>
        <v>Senior</v>
      </c>
      <c r="G761" t="s">
        <v>24</v>
      </c>
      <c r="H761" t="s">
        <v>69</v>
      </c>
      <c r="I761" t="s">
        <v>47</v>
      </c>
      <c r="J761" t="s">
        <v>37</v>
      </c>
      <c r="K761">
        <v>2</v>
      </c>
      <c r="L761">
        <v>14931.2</v>
      </c>
      <c r="M761">
        <v>29862.400000000001</v>
      </c>
      <c r="N761">
        <f t="shared" si="34"/>
        <v>29862.400000000001</v>
      </c>
      <c r="O761" t="str">
        <f t="shared" si="35"/>
        <v>Low</v>
      </c>
    </row>
    <row r="762" spans="1:15" x14ac:dyDescent="0.25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tr">
        <f t="shared" si="33"/>
        <v>Middle Age</v>
      </c>
      <c r="G762" t="s">
        <v>24</v>
      </c>
      <c r="H762" t="s">
        <v>35</v>
      </c>
      <c r="I762" t="s">
        <v>76</v>
      </c>
      <c r="J762" t="s">
        <v>77</v>
      </c>
      <c r="K762">
        <v>4</v>
      </c>
      <c r="L762">
        <v>40783.14</v>
      </c>
      <c r="M762">
        <v>163132.56</v>
      </c>
      <c r="N762">
        <f t="shared" si="34"/>
        <v>163132.56</v>
      </c>
      <c r="O762" t="str">
        <f t="shared" si="35"/>
        <v>Low</v>
      </c>
    </row>
    <row r="763" spans="1:15" x14ac:dyDescent="0.25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tr">
        <f t="shared" si="33"/>
        <v>Senior</v>
      </c>
      <c r="G763" t="s">
        <v>16</v>
      </c>
      <c r="H763" t="s">
        <v>102</v>
      </c>
      <c r="I763" t="s">
        <v>47</v>
      </c>
      <c r="J763" t="s">
        <v>37</v>
      </c>
      <c r="K763">
        <v>5</v>
      </c>
      <c r="L763">
        <v>17824.96</v>
      </c>
      <c r="M763">
        <v>89124.800000000003</v>
      </c>
      <c r="N763">
        <f t="shared" si="34"/>
        <v>89124.799999999988</v>
      </c>
      <c r="O763" t="str">
        <f t="shared" si="35"/>
        <v>Low</v>
      </c>
    </row>
    <row r="764" spans="1:15" x14ac:dyDescent="0.25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tr">
        <f t="shared" si="33"/>
        <v>Adult</v>
      </c>
      <c r="G764" t="s">
        <v>24</v>
      </c>
      <c r="H764" t="s">
        <v>17</v>
      </c>
      <c r="I764" t="s">
        <v>47</v>
      </c>
      <c r="J764" t="s">
        <v>37</v>
      </c>
      <c r="K764">
        <v>10</v>
      </c>
      <c r="L764">
        <v>49217.41</v>
      </c>
      <c r="M764">
        <v>492174.1</v>
      </c>
      <c r="N764">
        <f t="shared" si="34"/>
        <v>492174.10000000003</v>
      </c>
      <c r="O764" t="str">
        <f t="shared" si="35"/>
        <v>High</v>
      </c>
    </row>
    <row r="765" spans="1:15" x14ac:dyDescent="0.25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tr">
        <f t="shared" si="33"/>
        <v>Senior</v>
      </c>
      <c r="G765" t="s">
        <v>16</v>
      </c>
      <c r="H765" t="s">
        <v>60</v>
      </c>
      <c r="I765" t="s">
        <v>18</v>
      </c>
      <c r="J765" t="s">
        <v>19</v>
      </c>
      <c r="K765">
        <v>2</v>
      </c>
      <c r="L765">
        <v>36631.230000000003</v>
      </c>
      <c r="M765">
        <v>73262.460000000006</v>
      </c>
      <c r="N765">
        <f t="shared" si="34"/>
        <v>73262.460000000006</v>
      </c>
      <c r="O765" t="str">
        <f t="shared" si="35"/>
        <v>Low</v>
      </c>
    </row>
    <row r="766" spans="1:15" x14ac:dyDescent="0.25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tr">
        <f t="shared" si="33"/>
        <v>Middle Age</v>
      </c>
      <c r="G766" t="s">
        <v>16</v>
      </c>
      <c r="H766" t="s">
        <v>51</v>
      </c>
      <c r="I766" t="s">
        <v>76</v>
      </c>
      <c r="J766" t="s">
        <v>77</v>
      </c>
      <c r="K766">
        <v>3</v>
      </c>
      <c r="L766">
        <v>5550.25</v>
      </c>
      <c r="M766">
        <v>16650.75</v>
      </c>
      <c r="N766">
        <f t="shared" si="34"/>
        <v>16650.75</v>
      </c>
      <c r="O766" t="str">
        <f t="shared" si="35"/>
        <v>Low</v>
      </c>
    </row>
    <row r="767" spans="1:15" x14ac:dyDescent="0.25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tr">
        <f t="shared" si="33"/>
        <v>Middle Age</v>
      </c>
      <c r="G767" t="s">
        <v>24</v>
      </c>
      <c r="H767" t="s">
        <v>46</v>
      </c>
      <c r="I767" t="s">
        <v>36</v>
      </c>
      <c r="J767" t="s">
        <v>37</v>
      </c>
      <c r="K767">
        <v>1</v>
      </c>
      <c r="L767">
        <v>12225.22</v>
      </c>
      <c r="M767">
        <v>12225.22</v>
      </c>
      <c r="N767">
        <f t="shared" si="34"/>
        <v>12225.22</v>
      </c>
      <c r="O767" t="str">
        <f t="shared" si="35"/>
        <v>Low</v>
      </c>
    </row>
    <row r="768" spans="1:15" x14ac:dyDescent="0.25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tr">
        <f t="shared" si="33"/>
        <v>Adult</v>
      </c>
      <c r="G768" t="s">
        <v>16</v>
      </c>
      <c r="H768" t="s">
        <v>17</v>
      </c>
      <c r="I768" t="s">
        <v>36</v>
      </c>
      <c r="J768" t="s">
        <v>37</v>
      </c>
      <c r="K768">
        <v>10</v>
      </c>
      <c r="L768">
        <v>19819.95</v>
      </c>
      <c r="M768">
        <v>198199.5</v>
      </c>
      <c r="N768">
        <f t="shared" si="34"/>
        <v>198199.5</v>
      </c>
      <c r="O768" t="str">
        <f t="shared" si="35"/>
        <v>Medium</v>
      </c>
    </row>
    <row r="769" spans="1:15" x14ac:dyDescent="0.25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tr">
        <f t="shared" si="33"/>
        <v>Young Adult</v>
      </c>
      <c r="G769" t="s">
        <v>24</v>
      </c>
      <c r="H769" t="s">
        <v>115</v>
      </c>
      <c r="I769" t="s">
        <v>47</v>
      </c>
      <c r="J769" t="s">
        <v>37</v>
      </c>
      <c r="K769">
        <v>1</v>
      </c>
      <c r="L769">
        <v>42736.43</v>
      </c>
      <c r="M769">
        <v>42736.43</v>
      </c>
      <c r="N769">
        <f t="shared" si="34"/>
        <v>42736.43</v>
      </c>
      <c r="O769" t="str">
        <f t="shared" si="35"/>
        <v>Low</v>
      </c>
    </row>
    <row r="770" spans="1:15" x14ac:dyDescent="0.25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tr">
        <f t="shared" si="33"/>
        <v>Adult</v>
      </c>
      <c r="G770" t="s">
        <v>24</v>
      </c>
      <c r="H770" t="s">
        <v>17</v>
      </c>
      <c r="I770" t="s">
        <v>76</v>
      </c>
      <c r="J770" t="s">
        <v>77</v>
      </c>
      <c r="K770">
        <v>2</v>
      </c>
      <c r="L770">
        <v>36426.050000000003</v>
      </c>
      <c r="M770">
        <v>72852.100000000006</v>
      </c>
      <c r="N770">
        <f t="shared" si="34"/>
        <v>72852.100000000006</v>
      </c>
      <c r="O770" t="str">
        <f t="shared" si="35"/>
        <v>Low</v>
      </c>
    </row>
    <row r="771" spans="1:15" x14ac:dyDescent="0.25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tr">
        <f t="shared" ref="F771:F834" si="36">IF(E771&lt;=25,"Young Adult",IF(E771&lt;=40,"Adult",IF(E771&lt;=55,"Middle Age","Senior")))</f>
        <v>Adult</v>
      </c>
      <c r="G771" t="s">
        <v>16</v>
      </c>
      <c r="H771" t="s">
        <v>69</v>
      </c>
      <c r="I771" t="s">
        <v>70</v>
      </c>
      <c r="J771" t="s">
        <v>71</v>
      </c>
      <c r="K771">
        <v>1</v>
      </c>
      <c r="L771">
        <v>12121.61</v>
      </c>
      <c r="M771">
        <v>12121.61</v>
      </c>
      <c r="N771">
        <f t="shared" ref="N771:N834" si="37">K771*L771</f>
        <v>12121.61</v>
      </c>
      <c r="O771" t="str">
        <f t="shared" ref="O771:O834" si="38">IF(M771&lt;165000,"Low",IF(M771&lt;=330000,"Medium","High"))</f>
        <v>Low</v>
      </c>
    </row>
    <row r="772" spans="1:15" x14ac:dyDescent="0.25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tr">
        <f t="shared" si="36"/>
        <v>Senior</v>
      </c>
      <c r="G772" t="s">
        <v>24</v>
      </c>
      <c r="H772" t="s">
        <v>35</v>
      </c>
      <c r="I772" t="s">
        <v>18</v>
      </c>
      <c r="J772" t="s">
        <v>19</v>
      </c>
      <c r="K772">
        <v>5</v>
      </c>
      <c r="L772">
        <v>11824.36</v>
      </c>
      <c r="M772">
        <v>59121.8</v>
      </c>
      <c r="N772">
        <f t="shared" si="37"/>
        <v>59121.8</v>
      </c>
      <c r="O772" t="str">
        <f t="shared" si="38"/>
        <v>Low</v>
      </c>
    </row>
    <row r="773" spans="1:15" x14ac:dyDescent="0.25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tr">
        <f t="shared" si="36"/>
        <v>Senior</v>
      </c>
      <c r="G773" t="s">
        <v>24</v>
      </c>
      <c r="H773" t="s">
        <v>46</v>
      </c>
      <c r="I773" t="s">
        <v>36</v>
      </c>
      <c r="J773" t="s">
        <v>37</v>
      </c>
      <c r="K773">
        <v>4</v>
      </c>
      <c r="L773">
        <v>988.45</v>
      </c>
      <c r="M773">
        <v>3953.8</v>
      </c>
      <c r="N773">
        <f t="shared" si="37"/>
        <v>3953.8</v>
      </c>
      <c r="O773" t="str">
        <f t="shared" si="38"/>
        <v>Low</v>
      </c>
    </row>
    <row r="774" spans="1:15" x14ac:dyDescent="0.25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tr">
        <f t="shared" si="36"/>
        <v>Middle Age</v>
      </c>
      <c r="G774" t="s">
        <v>24</v>
      </c>
      <c r="H774" t="s">
        <v>51</v>
      </c>
      <c r="I774" t="s">
        <v>36</v>
      </c>
      <c r="J774" t="s">
        <v>37</v>
      </c>
      <c r="K774">
        <v>7</v>
      </c>
      <c r="L774">
        <v>13263.83</v>
      </c>
      <c r="M774">
        <v>92846.81</v>
      </c>
      <c r="N774">
        <f t="shared" si="37"/>
        <v>92846.81</v>
      </c>
      <c r="O774" t="str">
        <f t="shared" si="38"/>
        <v>Low</v>
      </c>
    </row>
    <row r="775" spans="1:15" x14ac:dyDescent="0.25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tr">
        <f t="shared" si="36"/>
        <v>Adult</v>
      </c>
      <c r="G775" t="s">
        <v>16</v>
      </c>
      <c r="H775" t="s">
        <v>17</v>
      </c>
      <c r="I775" t="s">
        <v>25</v>
      </c>
      <c r="J775" t="s">
        <v>26</v>
      </c>
      <c r="K775">
        <v>6</v>
      </c>
      <c r="L775">
        <v>35023.550000000003</v>
      </c>
      <c r="M775">
        <v>210141.3</v>
      </c>
      <c r="N775">
        <f t="shared" si="37"/>
        <v>210141.30000000002</v>
      </c>
      <c r="O775" t="str">
        <f t="shared" si="38"/>
        <v>Medium</v>
      </c>
    </row>
    <row r="776" spans="1:15" x14ac:dyDescent="0.25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tr">
        <f t="shared" si="36"/>
        <v>Adult</v>
      </c>
      <c r="G776" t="s">
        <v>16</v>
      </c>
      <c r="H776" t="s">
        <v>102</v>
      </c>
      <c r="I776" t="s">
        <v>76</v>
      </c>
      <c r="J776" t="s">
        <v>77</v>
      </c>
      <c r="K776">
        <v>10</v>
      </c>
      <c r="L776">
        <v>8630.9</v>
      </c>
      <c r="M776">
        <v>86309</v>
      </c>
      <c r="N776">
        <f t="shared" si="37"/>
        <v>86309</v>
      </c>
      <c r="O776" t="str">
        <f t="shared" si="38"/>
        <v>Low</v>
      </c>
    </row>
    <row r="777" spans="1:15" x14ac:dyDescent="0.25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tr">
        <f t="shared" si="36"/>
        <v>Middle Age</v>
      </c>
      <c r="G777" t="s">
        <v>16</v>
      </c>
      <c r="H777" t="s">
        <v>51</v>
      </c>
      <c r="I777" t="s">
        <v>36</v>
      </c>
      <c r="J777" t="s">
        <v>37</v>
      </c>
      <c r="K777">
        <v>6</v>
      </c>
      <c r="L777">
        <v>29757.58</v>
      </c>
      <c r="M777">
        <v>178545.48</v>
      </c>
      <c r="N777">
        <f t="shared" si="37"/>
        <v>178545.48</v>
      </c>
      <c r="O777" t="str">
        <f t="shared" si="38"/>
        <v>Medium</v>
      </c>
    </row>
    <row r="778" spans="1:15" x14ac:dyDescent="0.25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tr">
        <f t="shared" si="36"/>
        <v>Senior</v>
      </c>
      <c r="G778" t="s">
        <v>24</v>
      </c>
      <c r="H778" t="s">
        <v>46</v>
      </c>
      <c r="I778" t="s">
        <v>76</v>
      </c>
      <c r="J778" t="s">
        <v>77</v>
      </c>
      <c r="K778">
        <v>2</v>
      </c>
      <c r="L778">
        <v>45538.2</v>
      </c>
      <c r="M778">
        <v>91076.4</v>
      </c>
      <c r="N778">
        <f t="shared" si="37"/>
        <v>91076.4</v>
      </c>
      <c r="O778" t="str">
        <f t="shared" si="38"/>
        <v>Low</v>
      </c>
    </row>
    <row r="779" spans="1:15" x14ac:dyDescent="0.25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tr">
        <f t="shared" si="36"/>
        <v>Adult</v>
      </c>
      <c r="G779" t="s">
        <v>24</v>
      </c>
      <c r="H779" t="s">
        <v>46</v>
      </c>
      <c r="I779" t="s">
        <v>76</v>
      </c>
      <c r="J779" t="s">
        <v>77</v>
      </c>
      <c r="K779">
        <v>6</v>
      </c>
      <c r="L779">
        <v>19454.75</v>
      </c>
      <c r="M779">
        <v>116728.5</v>
      </c>
      <c r="N779">
        <f t="shared" si="37"/>
        <v>116728.5</v>
      </c>
      <c r="O779" t="str">
        <f t="shared" si="38"/>
        <v>Low</v>
      </c>
    </row>
    <row r="780" spans="1:15" x14ac:dyDescent="0.25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tr">
        <f t="shared" si="36"/>
        <v>Senior</v>
      </c>
      <c r="G780" t="s">
        <v>24</v>
      </c>
      <c r="H780" t="s">
        <v>60</v>
      </c>
      <c r="I780" t="s">
        <v>76</v>
      </c>
      <c r="J780" t="s">
        <v>77</v>
      </c>
      <c r="K780">
        <v>3</v>
      </c>
      <c r="L780">
        <v>21435.84</v>
      </c>
      <c r="M780">
        <v>64307.519999999997</v>
      </c>
      <c r="N780">
        <f t="shared" si="37"/>
        <v>64307.520000000004</v>
      </c>
      <c r="O780" t="str">
        <f t="shared" si="38"/>
        <v>Low</v>
      </c>
    </row>
    <row r="781" spans="1:15" x14ac:dyDescent="0.25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tr">
        <f t="shared" si="36"/>
        <v>Middle Age</v>
      </c>
      <c r="G781" t="s">
        <v>24</v>
      </c>
      <c r="H781" t="s">
        <v>51</v>
      </c>
      <c r="I781" t="s">
        <v>47</v>
      </c>
      <c r="J781" t="s">
        <v>37</v>
      </c>
      <c r="K781">
        <v>1</v>
      </c>
      <c r="L781">
        <v>47618.43</v>
      </c>
      <c r="M781">
        <v>47618.43</v>
      </c>
      <c r="N781">
        <f t="shared" si="37"/>
        <v>47618.43</v>
      </c>
      <c r="O781" t="str">
        <f t="shared" si="38"/>
        <v>Low</v>
      </c>
    </row>
    <row r="782" spans="1:15" x14ac:dyDescent="0.25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tr">
        <f t="shared" si="36"/>
        <v>Adult</v>
      </c>
      <c r="G782" t="s">
        <v>24</v>
      </c>
      <c r="H782" t="s">
        <v>35</v>
      </c>
      <c r="I782" t="s">
        <v>25</v>
      </c>
      <c r="J782" t="s">
        <v>26</v>
      </c>
      <c r="K782">
        <v>4</v>
      </c>
      <c r="L782">
        <v>25110.560000000001</v>
      </c>
      <c r="M782">
        <v>100442.24000000001</v>
      </c>
      <c r="N782">
        <f t="shared" si="37"/>
        <v>100442.24000000001</v>
      </c>
      <c r="O782" t="str">
        <f t="shared" si="38"/>
        <v>Low</v>
      </c>
    </row>
    <row r="783" spans="1:15" x14ac:dyDescent="0.25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tr">
        <f t="shared" si="36"/>
        <v>Senior</v>
      </c>
      <c r="G783" t="s">
        <v>16</v>
      </c>
      <c r="H783" t="s">
        <v>51</v>
      </c>
      <c r="I783" t="s">
        <v>25</v>
      </c>
      <c r="J783" t="s">
        <v>26</v>
      </c>
      <c r="K783">
        <v>9</v>
      </c>
      <c r="L783">
        <v>797.71</v>
      </c>
      <c r="M783">
        <v>7179.39</v>
      </c>
      <c r="N783">
        <f t="shared" si="37"/>
        <v>7179.39</v>
      </c>
      <c r="O783" t="str">
        <f t="shared" si="38"/>
        <v>Low</v>
      </c>
    </row>
    <row r="784" spans="1:15" x14ac:dyDescent="0.25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tr">
        <f t="shared" si="36"/>
        <v>Middle Age</v>
      </c>
      <c r="G784" t="s">
        <v>16</v>
      </c>
      <c r="H784" t="s">
        <v>115</v>
      </c>
      <c r="I784" t="s">
        <v>76</v>
      </c>
      <c r="J784" t="s">
        <v>77</v>
      </c>
      <c r="K784">
        <v>3</v>
      </c>
      <c r="L784">
        <v>25235.41</v>
      </c>
      <c r="M784">
        <v>75706.23</v>
      </c>
      <c r="N784">
        <f t="shared" si="37"/>
        <v>75706.23</v>
      </c>
      <c r="O784" t="str">
        <f t="shared" si="38"/>
        <v>Low</v>
      </c>
    </row>
    <row r="785" spans="1:15" x14ac:dyDescent="0.25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tr">
        <f t="shared" si="36"/>
        <v>Middle Age</v>
      </c>
      <c r="G785" t="s">
        <v>24</v>
      </c>
      <c r="H785" t="s">
        <v>35</v>
      </c>
      <c r="I785" t="s">
        <v>25</v>
      </c>
      <c r="J785" t="s">
        <v>26</v>
      </c>
      <c r="K785">
        <v>8</v>
      </c>
      <c r="L785">
        <v>43467</v>
      </c>
      <c r="M785">
        <v>347736</v>
      </c>
      <c r="N785">
        <f t="shared" si="37"/>
        <v>347736</v>
      </c>
      <c r="O785" t="str">
        <f t="shared" si="38"/>
        <v>High</v>
      </c>
    </row>
    <row r="786" spans="1:15" x14ac:dyDescent="0.25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tr">
        <f t="shared" si="36"/>
        <v>Senior</v>
      </c>
      <c r="G786" t="s">
        <v>16</v>
      </c>
      <c r="H786" t="s">
        <v>17</v>
      </c>
      <c r="I786" t="s">
        <v>70</v>
      </c>
      <c r="J786" t="s">
        <v>71</v>
      </c>
      <c r="K786">
        <v>9</v>
      </c>
      <c r="L786">
        <v>35691.39</v>
      </c>
      <c r="M786">
        <v>321222.51</v>
      </c>
      <c r="N786">
        <f t="shared" si="37"/>
        <v>321222.51</v>
      </c>
      <c r="O786" t="str">
        <f t="shared" si="38"/>
        <v>Medium</v>
      </c>
    </row>
    <row r="787" spans="1:15" x14ac:dyDescent="0.25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tr">
        <f t="shared" si="36"/>
        <v>Middle Age</v>
      </c>
      <c r="G787" t="s">
        <v>16</v>
      </c>
      <c r="H787" t="s">
        <v>102</v>
      </c>
      <c r="I787" t="s">
        <v>25</v>
      </c>
      <c r="J787" t="s">
        <v>26</v>
      </c>
      <c r="K787">
        <v>6</v>
      </c>
      <c r="L787">
        <v>28107.77</v>
      </c>
      <c r="M787">
        <v>168646.62</v>
      </c>
      <c r="N787">
        <f t="shared" si="37"/>
        <v>168646.62</v>
      </c>
      <c r="O787" t="str">
        <f t="shared" si="38"/>
        <v>Medium</v>
      </c>
    </row>
    <row r="788" spans="1:15" x14ac:dyDescent="0.25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tr">
        <f t="shared" si="36"/>
        <v>Senior</v>
      </c>
      <c r="G788" t="s">
        <v>24</v>
      </c>
      <c r="H788" t="s">
        <v>35</v>
      </c>
      <c r="I788" t="s">
        <v>18</v>
      </c>
      <c r="J788" t="s">
        <v>19</v>
      </c>
      <c r="K788">
        <v>6</v>
      </c>
      <c r="L788">
        <v>39662.1</v>
      </c>
      <c r="M788">
        <v>237972.6</v>
      </c>
      <c r="N788">
        <f t="shared" si="37"/>
        <v>237972.59999999998</v>
      </c>
      <c r="O788" t="str">
        <f t="shared" si="38"/>
        <v>Medium</v>
      </c>
    </row>
    <row r="789" spans="1:15" x14ac:dyDescent="0.25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tr">
        <f t="shared" si="36"/>
        <v>Senior</v>
      </c>
      <c r="G789" t="s">
        <v>16</v>
      </c>
      <c r="H789" t="s">
        <v>35</v>
      </c>
      <c r="I789" t="s">
        <v>18</v>
      </c>
      <c r="J789" t="s">
        <v>19</v>
      </c>
      <c r="K789">
        <v>5</v>
      </c>
      <c r="L789">
        <v>14533.4</v>
      </c>
      <c r="M789">
        <v>72667</v>
      </c>
      <c r="N789">
        <f t="shared" si="37"/>
        <v>72667</v>
      </c>
      <c r="O789" t="str">
        <f t="shared" si="38"/>
        <v>Low</v>
      </c>
    </row>
    <row r="790" spans="1:15" x14ac:dyDescent="0.25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tr">
        <f t="shared" si="36"/>
        <v>Middle Age</v>
      </c>
      <c r="G790" t="s">
        <v>24</v>
      </c>
      <c r="H790" t="s">
        <v>60</v>
      </c>
      <c r="I790" t="s">
        <v>25</v>
      </c>
      <c r="J790" t="s">
        <v>26</v>
      </c>
      <c r="K790">
        <v>9</v>
      </c>
      <c r="L790">
        <v>12322.26</v>
      </c>
      <c r="M790">
        <v>110900.34</v>
      </c>
      <c r="N790">
        <f t="shared" si="37"/>
        <v>110900.34</v>
      </c>
      <c r="O790" t="str">
        <f t="shared" si="38"/>
        <v>Low</v>
      </c>
    </row>
    <row r="791" spans="1:15" x14ac:dyDescent="0.25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tr">
        <f t="shared" si="36"/>
        <v>Middle Age</v>
      </c>
      <c r="G791" t="s">
        <v>24</v>
      </c>
      <c r="H791" t="s">
        <v>60</v>
      </c>
      <c r="I791" t="s">
        <v>76</v>
      </c>
      <c r="J791" t="s">
        <v>77</v>
      </c>
      <c r="K791">
        <v>10</v>
      </c>
      <c r="L791">
        <v>18178.32</v>
      </c>
      <c r="M791">
        <v>181783.2</v>
      </c>
      <c r="N791">
        <f t="shared" si="37"/>
        <v>181783.2</v>
      </c>
      <c r="O791" t="str">
        <f t="shared" si="38"/>
        <v>Medium</v>
      </c>
    </row>
    <row r="792" spans="1:15" x14ac:dyDescent="0.25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tr">
        <f t="shared" si="36"/>
        <v>Senior</v>
      </c>
      <c r="G792" t="s">
        <v>24</v>
      </c>
      <c r="H792" t="s">
        <v>17</v>
      </c>
      <c r="I792" t="s">
        <v>70</v>
      </c>
      <c r="J792" t="s">
        <v>71</v>
      </c>
      <c r="K792">
        <v>9</v>
      </c>
      <c r="L792">
        <v>6282.93</v>
      </c>
      <c r="M792">
        <v>56546.37</v>
      </c>
      <c r="N792">
        <f t="shared" si="37"/>
        <v>56546.37</v>
      </c>
      <c r="O792" t="str">
        <f t="shared" si="38"/>
        <v>Low</v>
      </c>
    </row>
    <row r="793" spans="1:15" x14ac:dyDescent="0.25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tr">
        <f t="shared" si="36"/>
        <v>Young Adult</v>
      </c>
      <c r="G793" t="s">
        <v>16</v>
      </c>
      <c r="H793" t="s">
        <v>35</v>
      </c>
      <c r="I793" t="s">
        <v>18</v>
      </c>
      <c r="J793" t="s">
        <v>19</v>
      </c>
      <c r="K793">
        <v>4</v>
      </c>
      <c r="L793">
        <v>40391.300000000003</v>
      </c>
      <c r="M793">
        <v>161565.20000000001</v>
      </c>
      <c r="N793">
        <f t="shared" si="37"/>
        <v>161565.20000000001</v>
      </c>
      <c r="O793" t="str">
        <f t="shared" si="38"/>
        <v>Low</v>
      </c>
    </row>
    <row r="794" spans="1:15" x14ac:dyDescent="0.25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tr">
        <f t="shared" si="36"/>
        <v>Young Adult</v>
      </c>
      <c r="G794" t="s">
        <v>16</v>
      </c>
      <c r="H794" t="s">
        <v>17</v>
      </c>
      <c r="I794" t="s">
        <v>70</v>
      </c>
      <c r="J794" t="s">
        <v>71</v>
      </c>
      <c r="K794">
        <v>3</v>
      </c>
      <c r="L794">
        <v>39157.519999999997</v>
      </c>
      <c r="M794">
        <v>117472.56</v>
      </c>
      <c r="N794">
        <f t="shared" si="37"/>
        <v>117472.56</v>
      </c>
      <c r="O794" t="str">
        <f t="shared" si="38"/>
        <v>Low</v>
      </c>
    </row>
    <row r="795" spans="1:15" x14ac:dyDescent="0.25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tr">
        <f t="shared" si="36"/>
        <v>Young Adult</v>
      </c>
      <c r="G795" t="s">
        <v>24</v>
      </c>
      <c r="H795" t="s">
        <v>51</v>
      </c>
      <c r="I795" t="s">
        <v>25</v>
      </c>
      <c r="J795" t="s">
        <v>26</v>
      </c>
      <c r="K795">
        <v>5</v>
      </c>
      <c r="L795">
        <v>12334.78</v>
      </c>
      <c r="M795">
        <v>61673.9</v>
      </c>
      <c r="N795">
        <f t="shared" si="37"/>
        <v>61673.9</v>
      </c>
      <c r="O795" t="str">
        <f t="shared" si="38"/>
        <v>Low</v>
      </c>
    </row>
    <row r="796" spans="1:15" x14ac:dyDescent="0.25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tr">
        <f t="shared" si="36"/>
        <v>Senior</v>
      </c>
      <c r="G796" t="s">
        <v>16</v>
      </c>
      <c r="H796" t="s">
        <v>60</v>
      </c>
      <c r="I796" t="s">
        <v>70</v>
      </c>
      <c r="J796" t="s">
        <v>71</v>
      </c>
      <c r="K796">
        <v>9</v>
      </c>
      <c r="L796">
        <v>38573.17</v>
      </c>
      <c r="M796">
        <v>347158.53</v>
      </c>
      <c r="N796">
        <f t="shared" si="37"/>
        <v>347158.52999999997</v>
      </c>
      <c r="O796" t="str">
        <f t="shared" si="38"/>
        <v>High</v>
      </c>
    </row>
    <row r="797" spans="1:15" x14ac:dyDescent="0.25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tr">
        <f t="shared" si="36"/>
        <v>Middle Age</v>
      </c>
      <c r="G797" t="s">
        <v>24</v>
      </c>
      <c r="H797" t="s">
        <v>17</v>
      </c>
      <c r="I797" t="s">
        <v>25</v>
      </c>
      <c r="J797" t="s">
        <v>26</v>
      </c>
      <c r="K797">
        <v>6</v>
      </c>
      <c r="L797">
        <v>18842.34</v>
      </c>
      <c r="M797">
        <v>113054.04</v>
      </c>
      <c r="N797">
        <f t="shared" si="37"/>
        <v>113054.04000000001</v>
      </c>
      <c r="O797" t="str">
        <f t="shared" si="38"/>
        <v>Low</v>
      </c>
    </row>
    <row r="798" spans="1:15" x14ac:dyDescent="0.25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tr">
        <f t="shared" si="36"/>
        <v>Senior</v>
      </c>
      <c r="G798" t="s">
        <v>16</v>
      </c>
      <c r="H798" t="s">
        <v>35</v>
      </c>
      <c r="I798" t="s">
        <v>70</v>
      </c>
      <c r="J798" t="s">
        <v>71</v>
      </c>
      <c r="K798">
        <v>4</v>
      </c>
      <c r="L798">
        <v>20118.349999999999</v>
      </c>
      <c r="M798">
        <v>80473.399999999994</v>
      </c>
      <c r="N798">
        <f t="shared" si="37"/>
        <v>80473.399999999994</v>
      </c>
      <c r="O798" t="str">
        <f t="shared" si="38"/>
        <v>Low</v>
      </c>
    </row>
    <row r="799" spans="1:15" x14ac:dyDescent="0.25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tr">
        <f t="shared" si="36"/>
        <v>Middle Age</v>
      </c>
      <c r="G799" t="s">
        <v>24</v>
      </c>
      <c r="H799" t="s">
        <v>60</v>
      </c>
      <c r="I799" t="s">
        <v>18</v>
      </c>
      <c r="J799" t="s">
        <v>19</v>
      </c>
      <c r="K799">
        <v>6</v>
      </c>
      <c r="L799">
        <v>39243.449999999997</v>
      </c>
      <c r="M799">
        <v>235460.7</v>
      </c>
      <c r="N799">
        <f t="shared" si="37"/>
        <v>235460.69999999998</v>
      </c>
      <c r="O799" t="str">
        <f t="shared" si="38"/>
        <v>Medium</v>
      </c>
    </row>
    <row r="800" spans="1:15" x14ac:dyDescent="0.25">
      <c r="A800" t="s">
        <v>2300</v>
      </c>
      <c r="B800" t="s">
        <v>2301</v>
      </c>
      <c r="C800" t="s">
        <v>2302</v>
      </c>
      <c r="D800" t="s">
        <v>481</v>
      </c>
      <c r="E800">
        <v>41</v>
      </c>
      <c r="F800" t="str">
        <f t="shared" si="36"/>
        <v>Middle Age</v>
      </c>
      <c r="G800" t="s">
        <v>24</v>
      </c>
      <c r="H800" t="s">
        <v>51</v>
      </c>
      <c r="I800" t="s">
        <v>18</v>
      </c>
      <c r="J800" t="s">
        <v>19</v>
      </c>
      <c r="K800">
        <v>10</v>
      </c>
      <c r="L800">
        <v>15891.66</v>
      </c>
      <c r="M800">
        <v>158916.6</v>
      </c>
      <c r="N800">
        <f t="shared" si="37"/>
        <v>158916.6</v>
      </c>
      <c r="O800" t="str">
        <f t="shared" si="38"/>
        <v>Low</v>
      </c>
    </row>
    <row r="801" spans="1:15" x14ac:dyDescent="0.25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tr">
        <f t="shared" si="36"/>
        <v>Middle Age</v>
      </c>
      <c r="G801" t="s">
        <v>24</v>
      </c>
      <c r="H801" t="s">
        <v>102</v>
      </c>
      <c r="I801" t="s">
        <v>36</v>
      </c>
      <c r="J801" t="s">
        <v>37</v>
      </c>
      <c r="K801">
        <v>1</v>
      </c>
      <c r="L801">
        <v>40350.67</v>
      </c>
      <c r="M801">
        <v>40350.67</v>
      </c>
      <c r="N801">
        <f t="shared" si="37"/>
        <v>40350.67</v>
      </c>
      <c r="O801" t="str">
        <f t="shared" si="38"/>
        <v>Low</v>
      </c>
    </row>
    <row r="802" spans="1:15" x14ac:dyDescent="0.25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tr">
        <f t="shared" si="36"/>
        <v>Adult</v>
      </c>
      <c r="G802" t="s">
        <v>16</v>
      </c>
      <c r="H802" t="s">
        <v>60</v>
      </c>
      <c r="I802" t="s">
        <v>18</v>
      </c>
      <c r="J802" t="s">
        <v>19</v>
      </c>
      <c r="K802">
        <v>1</v>
      </c>
      <c r="L802">
        <v>47545.23</v>
      </c>
      <c r="M802">
        <v>47545.23</v>
      </c>
      <c r="N802">
        <f t="shared" si="37"/>
        <v>47545.23</v>
      </c>
      <c r="O802" t="str">
        <f t="shared" si="38"/>
        <v>Low</v>
      </c>
    </row>
    <row r="803" spans="1:15" x14ac:dyDescent="0.25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tr">
        <f t="shared" si="36"/>
        <v>Adult</v>
      </c>
      <c r="G803" t="s">
        <v>16</v>
      </c>
      <c r="H803" t="s">
        <v>35</v>
      </c>
      <c r="I803" t="s">
        <v>25</v>
      </c>
      <c r="J803" t="s">
        <v>26</v>
      </c>
      <c r="K803">
        <v>4</v>
      </c>
      <c r="L803">
        <v>17304.91</v>
      </c>
      <c r="M803">
        <v>69219.64</v>
      </c>
      <c r="N803">
        <f t="shared" si="37"/>
        <v>69219.64</v>
      </c>
      <c r="O803" t="str">
        <f t="shared" si="38"/>
        <v>Low</v>
      </c>
    </row>
    <row r="804" spans="1:15" x14ac:dyDescent="0.25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tr">
        <f t="shared" si="36"/>
        <v>Adult</v>
      </c>
      <c r="G804" t="s">
        <v>16</v>
      </c>
      <c r="H804" t="s">
        <v>69</v>
      </c>
      <c r="I804" t="s">
        <v>25</v>
      </c>
      <c r="J804" t="s">
        <v>26</v>
      </c>
      <c r="K804">
        <v>6</v>
      </c>
      <c r="L804">
        <v>17079.990000000002</v>
      </c>
      <c r="M804">
        <v>102479.94</v>
      </c>
      <c r="N804">
        <f t="shared" si="37"/>
        <v>102479.94</v>
      </c>
      <c r="O804" t="str">
        <f t="shared" si="38"/>
        <v>Low</v>
      </c>
    </row>
    <row r="805" spans="1:15" x14ac:dyDescent="0.25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tr">
        <f t="shared" si="36"/>
        <v>Senior</v>
      </c>
      <c r="G805" t="s">
        <v>24</v>
      </c>
      <c r="H805" t="s">
        <v>17</v>
      </c>
      <c r="I805" t="s">
        <v>70</v>
      </c>
      <c r="J805" t="s">
        <v>71</v>
      </c>
      <c r="K805">
        <v>9</v>
      </c>
      <c r="L805">
        <v>44772.959999999999</v>
      </c>
      <c r="M805">
        <v>402956.64</v>
      </c>
      <c r="N805">
        <f t="shared" si="37"/>
        <v>402956.64</v>
      </c>
      <c r="O805" t="str">
        <f t="shared" si="38"/>
        <v>High</v>
      </c>
    </row>
    <row r="806" spans="1:15" x14ac:dyDescent="0.25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tr">
        <f t="shared" si="36"/>
        <v>Middle Age</v>
      </c>
      <c r="G806" t="s">
        <v>16</v>
      </c>
      <c r="H806" t="s">
        <v>102</v>
      </c>
      <c r="I806" t="s">
        <v>70</v>
      </c>
      <c r="J806" t="s">
        <v>71</v>
      </c>
      <c r="K806">
        <v>10</v>
      </c>
      <c r="L806">
        <v>32483.32</v>
      </c>
      <c r="M806">
        <v>324833.2</v>
      </c>
      <c r="N806">
        <f t="shared" si="37"/>
        <v>324833.2</v>
      </c>
      <c r="O806" t="str">
        <f t="shared" si="38"/>
        <v>Medium</v>
      </c>
    </row>
    <row r="807" spans="1:15" x14ac:dyDescent="0.25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tr">
        <f t="shared" si="36"/>
        <v>Senior</v>
      </c>
      <c r="G807" t="s">
        <v>24</v>
      </c>
      <c r="H807" t="s">
        <v>35</v>
      </c>
      <c r="I807" t="s">
        <v>76</v>
      </c>
      <c r="J807" t="s">
        <v>77</v>
      </c>
      <c r="K807">
        <v>9</v>
      </c>
      <c r="L807">
        <v>47699.69</v>
      </c>
      <c r="M807">
        <v>429297.21</v>
      </c>
      <c r="N807">
        <f t="shared" si="37"/>
        <v>429297.21</v>
      </c>
      <c r="O807" t="str">
        <f t="shared" si="38"/>
        <v>High</v>
      </c>
    </row>
    <row r="808" spans="1:15" x14ac:dyDescent="0.25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tr">
        <f t="shared" si="36"/>
        <v>Adult</v>
      </c>
      <c r="G808" t="s">
        <v>16</v>
      </c>
      <c r="H808" t="s">
        <v>51</v>
      </c>
      <c r="I808" t="s">
        <v>76</v>
      </c>
      <c r="J808" t="s">
        <v>77</v>
      </c>
      <c r="K808">
        <v>2</v>
      </c>
      <c r="L808">
        <v>23127.63</v>
      </c>
      <c r="M808">
        <v>46255.26</v>
      </c>
      <c r="N808">
        <f t="shared" si="37"/>
        <v>46255.26</v>
      </c>
      <c r="O808" t="str">
        <f t="shared" si="38"/>
        <v>Low</v>
      </c>
    </row>
    <row r="809" spans="1:15" x14ac:dyDescent="0.25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tr">
        <f t="shared" si="36"/>
        <v>Senior</v>
      </c>
      <c r="G809" t="s">
        <v>16</v>
      </c>
      <c r="H809" t="s">
        <v>17</v>
      </c>
      <c r="I809" t="s">
        <v>70</v>
      </c>
      <c r="J809" t="s">
        <v>71</v>
      </c>
      <c r="K809">
        <v>6</v>
      </c>
      <c r="L809">
        <v>16882.560000000001</v>
      </c>
      <c r="M809">
        <v>101295.36</v>
      </c>
      <c r="N809">
        <f t="shared" si="37"/>
        <v>101295.36000000002</v>
      </c>
      <c r="O809" t="str">
        <f t="shared" si="38"/>
        <v>Low</v>
      </c>
    </row>
    <row r="810" spans="1:15" x14ac:dyDescent="0.25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tr">
        <f t="shared" si="36"/>
        <v>Middle Age</v>
      </c>
      <c r="G810" t="s">
        <v>24</v>
      </c>
      <c r="H810" t="s">
        <v>46</v>
      </c>
      <c r="I810" t="s">
        <v>18</v>
      </c>
      <c r="J810" t="s">
        <v>19</v>
      </c>
      <c r="K810">
        <v>6</v>
      </c>
      <c r="L810">
        <v>32296.32</v>
      </c>
      <c r="M810">
        <v>193777.92000000001</v>
      </c>
      <c r="N810">
        <f t="shared" si="37"/>
        <v>193777.91999999998</v>
      </c>
      <c r="O810" t="str">
        <f t="shared" si="38"/>
        <v>Medium</v>
      </c>
    </row>
    <row r="811" spans="1:15" x14ac:dyDescent="0.25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tr">
        <f t="shared" si="36"/>
        <v>Adult</v>
      </c>
      <c r="G811" t="s">
        <v>16</v>
      </c>
      <c r="H811" t="s">
        <v>51</v>
      </c>
      <c r="I811" t="s">
        <v>25</v>
      </c>
      <c r="J811" t="s">
        <v>26</v>
      </c>
      <c r="K811">
        <v>3</v>
      </c>
      <c r="L811">
        <v>15090.15</v>
      </c>
      <c r="M811">
        <v>45270.45</v>
      </c>
      <c r="N811">
        <f t="shared" si="37"/>
        <v>45270.45</v>
      </c>
      <c r="O811" t="str">
        <f t="shared" si="38"/>
        <v>Low</v>
      </c>
    </row>
    <row r="812" spans="1:15" x14ac:dyDescent="0.25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tr">
        <f t="shared" si="36"/>
        <v>Middle Age</v>
      </c>
      <c r="G812" t="s">
        <v>16</v>
      </c>
      <c r="H812" t="s">
        <v>60</v>
      </c>
      <c r="I812" t="s">
        <v>76</v>
      </c>
      <c r="J812" t="s">
        <v>77</v>
      </c>
      <c r="K812">
        <v>2</v>
      </c>
      <c r="L812">
        <v>30197.53</v>
      </c>
      <c r="M812">
        <v>60395.06</v>
      </c>
      <c r="N812">
        <f t="shared" si="37"/>
        <v>60395.06</v>
      </c>
      <c r="O812" t="str">
        <f t="shared" si="38"/>
        <v>Low</v>
      </c>
    </row>
    <row r="813" spans="1:15" x14ac:dyDescent="0.25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tr">
        <f t="shared" si="36"/>
        <v>Middle Age</v>
      </c>
      <c r="G813" t="s">
        <v>24</v>
      </c>
      <c r="H813" t="s">
        <v>51</v>
      </c>
      <c r="I813" t="s">
        <v>36</v>
      </c>
      <c r="J813" t="s">
        <v>37</v>
      </c>
      <c r="K813">
        <v>2</v>
      </c>
      <c r="L813">
        <v>41544.449999999997</v>
      </c>
      <c r="M813">
        <v>83088.899999999994</v>
      </c>
      <c r="N813">
        <f t="shared" si="37"/>
        <v>83088.899999999994</v>
      </c>
      <c r="O813" t="str">
        <f t="shared" si="38"/>
        <v>Low</v>
      </c>
    </row>
    <row r="814" spans="1:15" x14ac:dyDescent="0.25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tr">
        <f t="shared" si="36"/>
        <v>Adult</v>
      </c>
      <c r="G814" t="s">
        <v>16</v>
      </c>
      <c r="H814" t="s">
        <v>46</v>
      </c>
      <c r="I814" t="s">
        <v>47</v>
      </c>
      <c r="J814" t="s">
        <v>37</v>
      </c>
      <c r="K814">
        <v>8</v>
      </c>
      <c r="L814">
        <v>42593.69</v>
      </c>
      <c r="M814">
        <v>340749.52</v>
      </c>
      <c r="N814">
        <f t="shared" si="37"/>
        <v>340749.52</v>
      </c>
      <c r="O814" t="str">
        <f t="shared" si="38"/>
        <v>High</v>
      </c>
    </row>
    <row r="815" spans="1:15" x14ac:dyDescent="0.25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tr">
        <f t="shared" si="36"/>
        <v>Middle Age</v>
      </c>
      <c r="G815" t="s">
        <v>24</v>
      </c>
      <c r="H815" t="s">
        <v>69</v>
      </c>
      <c r="I815" t="s">
        <v>36</v>
      </c>
      <c r="J815" t="s">
        <v>37</v>
      </c>
      <c r="K815">
        <v>1</v>
      </c>
      <c r="L815">
        <v>26771.99</v>
      </c>
      <c r="M815">
        <v>26771.99</v>
      </c>
      <c r="N815">
        <f t="shared" si="37"/>
        <v>26771.99</v>
      </c>
      <c r="O815" t="str">
        <f t="shared" si="38"/>
        <v>Low</v>
      </c>
    </row>
    <row r="816" spans="1:15" x14ac:dyDescent="0.25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tr">
        <f t="shared" si="36"/>
        <v>Middle Age</v>
      </c>
      <c r="G816" t="s">
        <v>24</v>
      </c>
      <c r="H816" t="s">
        <v>35</v>
      </c>
      <c r="I816" t="s">
        <v>18</v>
      </c>
      <c r="J816" t="s">
        <v>19</v>
      </c>
      <c r="K816">
        <v>9</v>
      </c>
      <c r="L816">
        <v>31690.41</v>
      </c>
      <c r="M816">
        <v>285213.69</v>
      </c>
      <c r="N816">
        <f t="shared" si="37"/>
        <v>285213.69</v>
      </c>
      <c r="O816" t="str">
        <f t="shared" si="38"/>
        <v>Medium</v>
      </c>
    </row>
    <row r="817" spans="1:15" x14ac:dyDescent="0.25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tr">
        <f t="shared" si="36"/>
        <v>Young Adult</v>
      </c>
      <c r="G817" t="s">
        <v>16</v>
      </c>
      <c r="H817" t="s">
        <v>51</v>
      </c>
      <c r="I817" t="s">
        <v>18</v>
      </c>
      <c r="J817" t="s">
        <v>19</v>
      </c>
      <c r="K817">
        <v>6</v>
      </c>
      <c r="L817">
        <v>20913.849999999999</v>
      </c>
      <c r="M817">
        <v>125483.1</v>
      </c>
      <c r="N817">
        <f t="shared" si="37"/>
        <v>125483.09999999999</v>
      </c>
      <c r="O817" t="str">
        <f t="shared" si="38"/>
        <v>Low</v>
      </c>
    </row>
    <row r="818" spans="1:15" x14ac:dyDescent="0.25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tr">
        <f t="shared" si="36"/>
        <v>Middle Age</v>
      </c>
      <c r="G818" t="s">
        <v>24</v>
      </c>
      <c r="H818" t="s">
        <v>46</v>
      </c>
      <c r="I818" t="s">
        <v>76</v>
      </c>
      <c r="J818" t="s">
        <v>77</v>
      </c>
      <c r="K818">
        <v>7</v>
      </c>
      <c r="L818">
        <v>36034.1</v>
      </c>
      <c r="M818">
        <v>252238.7</v>
      </c>
      <c r="N818">
        <f t="shared" si="37"/>
        <v>252238.69999999998</v>
      </c>
      <c r="O818" t="str">
        <f t="shared" si="38"/>
        <v>Medium</v>
      </c>
    </row>
    <row r="819" spans="1:15" x14ac:dyDescent="0.25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tr">
        <f t="shared" si="36"/>
        <v>Adult</v>
      </c>
      <c r="G819" t="s">
        <v>24</v>
      </c>
      <c r="H819" t="s">
        <v>35</v>
      </c>
      <c r="I819" t="s">
        <v>36</v>
      </c>
      <c r="J819" t="s">
        <v>37</v>
      </c>
      <c r="K819">
        <v>8</v>
      </c>
      <c r="L819">
        <v>21646.639999999999</v>
      </c>
      <c r="M819">
        <v>173173.12</v>
      </c>
      <c r="N819">
        <f t="shared" si="37"/>
        <v>173173.12</v>
      </c>
      <c r="O819" t="str">
        <f t="shared" si="38"/>
        <v>Medium</v>
      </c>
    </row>
    <row r="820" spans="1:15" x14ac:dyDescent="0.25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tr">
        <f t="shared" si="36"/>
        <v>Senior</v>
      </c>
      <c r="G820" t="s">
        <v>24</v>
      </c>
      <c r="H820" t="s">
        <v>17</v>
      </c>
      <c r="I820" t="s">
        <v>47</v>
      </c>
      <c r="J820" t="s">
        <v>37</v>
      </c>
      <c r="K820">
        <v>1</v>
      </c>
      <c r="L820">
        <v>21553.66</v>
      </c>
      <c r="M820">
        <v>21553.66</v>
      </c>
      <c r="N820">
        <f t="shared" si="37"/>
        <v>21553.66</v>
      </c>
      <c r="O820" t="str">
        <f t="shared" si="38"/>
        <v>Low</v>
      </c>
    </row>
    <row r="821" spans="1:15" x14ac:dyDescent="0.25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tr">
        <f t="shared" si="36"/>
        <v>Middle Age</v>
      </c>
      <c r="G821" t="s">
        <v>24</v>
      </c>
      <c r="H821" t="s">
        <v>60</v>
      </c>
      <c r="I821" t="s">
        <v>25</v>
      </c>
      <c r="J821" t="s">
        <v>26</v>
      </c>
      <c r="K821">
        <v>3</v>
      </c>
      <c r="L821">
        <v>17152.2</v>
      </c>
      <c r="M821">
        <v>51456.6</v>
      </c>
      <c r="N821">
        <f t="shared" si="37"/>
        <v>51456.600000000006</v>
      </c>
      <c r="O821" t="str">
        <f t="shared" si="38"/>
        <v>Low</v>
      </c>
    </row>
    <row r="822" spans="1:15" x14ac:dyDescent="0.25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tr">
        <f t="shared" si="36"/>
        <v>Adult</v>
      </c>
      <c r="G822" t="s">
        <v>16</v>
      </c>
      <c r="H822" t="s">
        <v>102</v>
      </c>
      <c r="I822" t="s">
        <v>18</v>
      </c>
      <c r="J822" t="s">
        <v>19</v>
      </c>
      <c r="K822">
        <v>1</v>
      </c>
      <c r="L822">
        <v>21368.29</v>
      </c>
      <c r="M822">
        <v>21368.29</v>
      </c>
      <c r="N822">
        <f t="shared" si="37"/>
        <v>21368.29</v>
      </c>
      <c r="O822" t="str">
        <f t="shared" si="38"/>
        <v>Low</v>
      </c>
    </row>
    <row r="823" spans="1:15" x14ac:dyDescent="0.25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tr">
        <f t="shared" si="36"/>
        <v>Young Adult</v>
      </c>
      <c r="G823" t="s">
        <v>16</v>
      </c>
      <c r="H823" t="s">
        <v>17</v>
      </c>
      <c r="I823" t="s">
        <v>70</v>
      </c>
      <c r="J823" t="s">
        <v>71</v>
      </c>
      <c r="K823">
        <v>7</v>
      </c>
      <c r="L823">
        <v>47413.32</v>
      </c>
      <c r="M823">
        <v>331893.24</v>
      </c>
      <c r="N823">
        <f t="shared" si="37"/>
        <v>331893.24</v>
      </c>
      <c r="O823" t="str">
        <f t="shared" si="38"/>
        <v>High</v>
      </c>
    </row>
    <row r="824" spans="1:15" x14ac:dyDescent="0.25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tr">
        <f t="shared" si="36"/>
        <v>Senior</v>
      </c>
      <c r="G824" t="s">
        <v>16</v>
      </c>
      <c r="H824" t="s">
        <v>102</v>
      </c>
      <c r="I824" t="s">
        <v>76</v>
      </c>
      <c r="J824" t="s">
        <v>77</v>
      </c>
      <c r="K824">
        <v>4</v>
      </c>
      <c r="L824">
        <v>2716.24</v>
      </c>
      <c r="M824">
        <v>10864.96</v>
      </c>
      <c r="N824">
        <f t="shared" si="37"/>
        <v>10864.96</v>
      </c>
      <c r="O824" t="str">
        <f t="shared" si="38"/>
        <v>Low</v>
      </c>
    </row>
    <row r="825" spans="1:15" x14ac:dyDescent="0.25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tr">
        <f t="shared" si="36"/>
        <v>Senior</v>
      </c>
      <c r="G825" t="s">
        <v>16</v>
      </c>
      <c r="I825" t="s">
        <v>47</v>
      </c>
      <c r="J825" t="s">
        <v>37</v>
      </c>
      <c r="K825">
        <v>2</v>
      </c>
      <c r="L825">
        <v>45863.13</v>
      </c>
      <c r="M825">
        <v>91726.26</v>
      </c>
      <c r="N825">
        <f t="shared" si="37"/>
        <v>91726.26</v>
      </c>
      <c r="O825" t="str">
        <f t="shared" si="38"/>
        <v>Low</v>
      </c>
    </row>
    <row r="826" spans="1:15" x14ac:dyDescent="0.25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tr">
        <f t="shared" si="36"/>
        <v>Young Adult</v>
      </c>
      <c r="G826" t="s">
        <v>16</v>
      </c>
      <c r="H826" t="s">
        <v>17</v>
      </c>
      <c r="I826" t="s">
        <v>70</v>
      </c>
      <c r="J826" t="s">
        <v>71</v>
      </c>
      <c r="K826">
        <v>5</v>
      </c>
      <c r="L826">
        <v>48228.959999999999</v>
      </c>
      <c r="M826">
        <v>241144.8</v>
      </c>
      <c r="N826">
        <f t="shared" si="37"/>
        <v>241144.8</v>
      </c>
      <c r="O826" t="str">
        <f t="shared" si="38"/>
        <v>Medium</v>
      </c>
    </row>
    <row r="827" spans="1:15" x14ac:dyDescent="0.25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tr">
        <f t="shared" si="36"/>
        <v>Middle Age</v>
      </c>
      <c r="G827" t="s">
        <v>24</v>
      </c>
      <c r="H827" t="s">
        <v>60</v>
      </c>
      <c r="I827" t="s">
        <v>47</v>
      </c>
      <c r="J827" t="s">
        <v>37</v>
      </c>
      <c r="K827">
        <v>1</v>
      </c>
      <c r="L827">
        <v>31849.439999999999</v>
      </c>
      <c r="M827">
        <v>31849.439999999999</v>
      </c>
      <c r="N827">
        <f t="shared" si="37"/>
        <v>31849.439999999999</v>
      </c>
      <c r="O827" t="str">
        <f t="shared" si="38"/>
        <v>Low</v>
      </c>
    </row>
    <row r="828" spans="1:15" x14ac:dyDescent="0.25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tr">
        <f t="shared" si="36"/>
        <v>Adult</v>
      </c>
      <c r="G828" t="s">
        <v>24</v>
      </c>
      <c r="H828" t="s">
        <v>102</v>
      </c>
      <c r="I828" t="s">
        <v>25</v>
      </c>
      <c r="J828" t="s">
        <v>26</v>
      </c>
      <c r="K828">
        <v>4</v>
      </c>
      <c r="L828">
        <v>8685.69</v>
      </c>
      <c r="M828">
        <v>34742.76</v>
      </c>
      <c r="N828">
        <f t="shared" si="37"/>
        <v>34742.76</v>
      </c>
      <c r="O828" t="str">
        <f t="shared" si="38"/>
        <v>Low</v>
      </c>
    </row>
    <row r="829" spans="1:15" x14ac:dyDescent="0.25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tr">
        <f t="shared" si="36"/>
        <v>Middle Age</v>
      </c>
      <c r="G829" t="s">
        <v>24</v>
      </c>
      <c r="H829" t="s">
        <v>69</v>
      </c>
      <c r="I829" t="s">
        <v>18</v>
      </c>
      <c r="J829" t="s">
        <v>19</v>
      </c>
      <c r="K829">
        <v>2</v>
      </c>
      <c r="L829">
        <v>49685.64</v>
      </c>
      <c r="M829">
        <v>99371.28</v>
      </c>
      <c r="N829">
        <f t="shared" si="37"/>
        <v>99371.28</v>
      </c>
      <c r="O829" t="str">
        <f t="shared" si="38"/>
        <v>Low</v>
      </c>
    </row>
    <row r="830" spans="1:15" x14ac:dyDescent="0.25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tr">
        <f t="shared" si="36"/>
        <v>Young Adult</v>
      </c>
      <c r="G830" t="s">
        <v>24</v>
      </c>
      <c r="H830" t="s">
        <v>35</v>
      </c>
      <c r="I830" t="s">
        <v>70</v>
      </c>
      <c r="J830" t="s">
        <v>71</v>
      </c>
      <c r="K830">
        <v>8</v>
      </c>
      <c r="L830">
        <v>10921.12</v>
      </c>
      <c r="M830">
        <v>87368.960000000006</v>
      </c>
      <c r="N830">
        <f t="shared" si="37"/>
        <v>87368.960000000006</v>
      </c>
      <c r="O830" t="str">
        <f t="shared" si="38"/>
        <v>Low</v>
      </c>
    </row>
    <row r="831" spans="1:15" x14ac:dyDescent="0.25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tr">
        <f t="shared" si="36"/>
        <v>Middle Age</v>
      </c>
      <c r="G831" t="s">
        <v>16</v>
      </c>
      <c r="H831" t="s">
        <v>51</v>
      </c>
      <c r="I831" t="s">
        <v>47</v>
      </c>
      <c r="J831" t="s">
        <v>37</v>
      </c>
      <c r="K831">
        <v>3</v>
      </c>
      <c r="L831">
        <v>33896.35</v>
      </c>
      <c r="M831">
        <v>101689.05</v>
      </c>
      <c r="N831">
        <f t="shared" si="37"/>
        <v>101689.04999999999</v>
      </c>
      <c r="O831" t="str">
        <f t="shared" si="38"/>
        <v>Low</v>
      </c>
    </row>
    <row r="832" spans="1:15" x14ac:dyDescent="0.25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tr">
        <f t="shared" si="36"/>
        <v>Adult</v>
      </c>
      <c r="G832" t="s">
        <v>16</v>
      </c>
      <c r="H832" t="s">
        <v>35</v>
      </c>
      <c r="I832" t="s">
        <v>70</v>
      </c>
      <c r="J832" t="s">
        <v>71</v>
      </c>
      <c r="K832">
        <v>4</v>
      </c>
      <c r="L832">
        <v>31512.79</v>
      </c>
      <c r="M832">
        <v>126051.16</v>
      </c>
      <c r="N832">
        <f t="shared" si="37"/>
        <v>126051.16</v>
      </c>
      <c r="O832" t="str">
        <f t="shared" si="38"/>
        <v>Low</v>
      </c>
    </row>
    <row r="833" spans="1:15" x14ac:dyDescent="0.25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tr">
        <f t="shared" si="36"/>
        <v>Young Adult</v>
      </c>
      <c r="G833" t="s">
        <v>16</v>
      </c>
      <c r="H833" t="s">
        <v>35</v>
      </c>
      <c r="I833" t="s">
        <v>36</v>
      </c>
      <c r="J833" t="s">
        <v>37</v>
      </c>
      <c r="K833">
        <v>6</v>
      </c>
      <c r="L833">
        <v>17944.07</v>
      </c>
      <c r="M833">
        <v>107664.42</v>
      </c>
      <c r="N833">
        <f t="shared" si="37"/>
        <v>107664.42</v>
      </c>
      <c r="O833" t="str">
        <f t="shared" si="38"/>
        <v>Low</v>
      </c>
    </row>
    <row r="834" spans="1:15" x14ac:dyDescent="0.25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tr">
        <f t="shared" si="36"/>
        <v>Middle Age</v>
      </c>
      <c r="G834" t="s">
        <v>16</v>
      </c>
      <c r="H834" t="s">
        <v>102</v>
      </c>
      <c r="I834" t="s">
        <v>36</v>
      </c>
      <c r="J834" t="s">
        <v>37</v>
      </c>
      <c r="K834">
        <v>3</v>
      </c>
      <c r="L834">
        <v>14145.7</v>
      </c>
      <c r="M834">
        <v>42437.1</v>
      </c>
      <c r="N834">
        <f t="shared" si="37"/>
        <v>42437.100000000006</v>
      </c>
      <c r="O834" t="str">
        <f t="shared" si="38"/>
        <v>Low</v>
      </c>
    </row>
    <row r="835" spans="1:15" x14ac:dyDescent="0.25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tr">
        <f t="shared" ref="F835:F898" si="39">IF(E835&lt;=25,"Young Adult",IF(E835&lt;=40,"Adult",IF(E835&lt;=55,"Middle Age","Senior")))</f>
        <v>Senior</v>
      </c>
      <c r="G835" t="s">
        <v>16</v>
      </c>
      <c r="H835" t="s">
        <v>102</v>
      </c>
      <c r="I835" t="s">
        <v>25</v>
      </c>
      <c r="J835" t="s">
        <v>26</v>
      </c>
      <c r="K835">
        <v>3</v>
      </c>
      <c r="L835">
        <v>33186.379999999997</v>
      </c>
      <c r="M835">
        <v>99559.14</v>
      </c>
      <c r="N835">
        <f t="shared" ref="N835:N898" si="40">K835*L835</f>
        <v>99559.139999999985</v>
      </c>
      <c r="O835" t="str">
        <f t="shared" ref="O835:O898" si="41">IF(M835&lt;165000,"Low",IF(M835&lt;=330000,"Medium","High"))</f>
        <v>Low</v>
      </c>
    </row>
    <row r="836" spans="1:15" x14ac:dyDescent="0.25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tr">
        <f t="shared" si="39"/>
        <v>Young Adult</v>
      </c>
      <c r="G836" t="s">
        <v>24</v>
      </c>
      <c r="H836" t="s">
        <v>51</v>
      </c>
      <c r="I836" t="s">
        <v>36</v>
      </c>
      <c r="J836" t="s">
        <v>37</v>
      </c>
      <c r="K836">
        <v>5</v>
      </c>
      <c r="L836">
        <v>24537.11</v>
      </c>
      <c r="M836">
        <v>122685.55</v>
      </c>
      <c r="N836">
        <f t="shared" si="40"/>
        <v>122685.55</v>
      </c>
      <c r="O836" t="str">
        <f t="shared" si="41"/>
        <v>Low</v>
      </c>
    </row>
    <row r="837" spans="1:15" x14ac:dyDescent="0.25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tr">
        <f t="shared" si="39"/>
        <v>Adult</v>
      </c>
      <c r="G837" t="s">
        <v>24</v>
      </c>
      <c r="H837" t="s">
        <v>35</v>
      </c>
      <c r="I837" t="s">
        <v>36</v>
      </c>
      <c r="J837" t="s">
        <v>37</v>
      </c>
      <c r="K837">
        <v>4</v>
      </c>
      <c r="L837">
        <v>7989.47</v>
      </c>
      <c r="M837">
        <v>31957.88</v>
      </c>
      <c r="N837">
        <f t="shared" si="40"/>
        <v>31957.88</v>
      </c>
      <c r="O837" t="str">
        <f t="shared" si="41"/>
        <v>Low</v>
      </c>
    </row>
    <row r="838" spans="1:15" x14ac:dyDescent="0.25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tr">
        <f t="shared" si="39"/>
        <v>Middle Age</v>
      </c>
      <c r="G838" t="s">
        <v>16</v>
      </c>
      <c r="H838" t="s">
        <v>60</v>
      </c>
      <c r="I838" t="s">
        <v>70</v>
      </c>
      <c r="J838" t="s">
        <v>71</v>
      </c>
      <c r="K838">
        <v>6</v>
      </c>
      <c r="L838">
        <v>9784.56</v>
      </c>
      <c r="M838">
        <v>58707.360000000001</v>
      </c>
      <c r="N838">
        <f t="shared" si="40"/>
        <v>58707.360000000001</v>
      </c>
      <c r="O838" t="str">
        <f t="shared" si="41"/>
        <v>Low</v>
      </c>
    </row>
    <row r="839" spans="1:15" x14ac:dyDescent="0.25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tr">
        <f t="shared" si="39"/>
        <v>Middle Age</v>
      </c>
      <c r="G839" t="s">
        <v>16</v>
      </c>
      <c r="H839" t="s">
        <v>46</v>
      </c>
      <c r="I839" t="s">
        <v>47</v>
      </c>
      <c r="J839" t="s">
        <v>37</v>
      </c>
      <c r="K839">
        <v>5</v>
      </c>
      <c r="L839">
        <v>47021.1</v>
      </c>
      <c r="M839">
        <v>235105.5</v>
      </c>
      <c r="N839">
        <f t="shared" si="40"/>
        <v>235105.5</v>
      </c>
      <c r="O839" t="str">
        <f t="shared" si="41"/>
        <v>Medium</v>
      </c>
    </row>
    <row r="840" spans="1:15" x14ac:dyDescent="0.25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tr">
        <f t="shared" si="39"/>
        <v>Adult</v>
      </c>
      <c r="G840" t="s">
        <v>24</v>
      </c>
      <c r="H840" t="s">
        <v>35</v>
      </c>
      <c r="I840" t="s">
        <v>76</v>
      </c>
      <c r="J840" t="s">
        <v>77</v>
      </c>
      <c r="K840">
        <v>9</v>
      </c>
      <c r="L840">
        <v>28747.47</v>
      </c>
      <c r="M840">
        <v>258727.23</v>
      </c>
      <c r="N840">
        <f t="shared" si="40"/>
        <v>258727.23</v>
      </c>
      <c r="O840" t="str">
        <f t="shared" si="41"/>
        <v>Medium</v>
      </c>
    </row>
    <row r="841" spans="1:15" x14ac:dyDescent="0.25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tr">
        <f t="shared" si="39"/>
        <v>Adult</v>
      </c>
      <c r="G841" t="s">
        <v>24</v>
      </c>
      <c r="H841" t="s">
        <v>60</v>
      </c>
      <c r="I841" t="s">
        <v>25</v>
      </c>
      <c r="J841" t="s">
        <v>26</v>
      </c>
      <c r="K841">
        <v>10</v>
      </c>
      <c r="L841">
        <v>35093.39</v>
      </c>
      <c r="M841">
        <v>350933.9</v>
      </c>
      <c r="N841">
        <f t="shared" si="40"/>
        <v>350933.9</v>
      </c>
      <c r="O841" t="str">
        <f t="shared" si="41"/>
        <v>High</v>
      </c>
    </row>
    <row r="842" spans="1:15" x14ac:dyDescent="0.25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tr">
        <f t="shared" si="39"/>
        <v>Middle Age</v>
      </c>
      <c r="G842" t="s">
        <v>16</v>
      </c>
      <c r="H842" t="s">
        <v>69</v>
      </c>
      <c r="I842" t="s">
        <v>25</v>
      </c>
      <c r="J842" t="s">
        <v>26</v>
      </c>
      <c r="K842">
        <v>3</v>
      </c>
      <c r="L842">
        <v>22843.06</v>
      </c>
      <c r="M842">
        <v>68529.179999999993</v>
      </c>
      <c r="N842">
        <f t="shared" si="40"/>
        <v>68529.180000000008</v>
      </c>
      <c r="O842" t="str">
        <f t="shared" si="41"/>
        <v>Low</v>
      </c>
    </row>
    <row r="843" spans="1:15" x14ac:dyDescent="0.25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tr">
        <f t="shared" si="39"/>
        <v>Middle Age</v>
      </c>
      <c r="G843" t="s">
        <v>16</v>
      </c>
      <c r="H843" t="s">
        <v>46</v>
      </c>
      <c r="I843" t="s">
        <v>25</v>
      </c>
      <c r="J843" t="s">
        <v>26</v>
      </c>
      <c r="K843">
        <v>7</v>
      </c>
      <c r="L843">
        <v>38502.79</v>
      </c>
      <c r="M843">
        <v>269519.53000000003</v>
      </c>
      <c r="N843">
        <f t="shared" si="40"/>
        <v>269519.53000000003</v>
      </c>
      <c r="O843" t="str">
        <f t="shared" si="41"/>
        <v>Medium</v>
      </c>
    </row>
    <row r="844" spans="1:15" x14ac:dyDescent="0.25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tr">
        <f t="shared" si="39"/>
        <v>Adult</v>
      </c>
      <c r="G844" t="s">
        <v>24</v>
      </c>
      <c r="H844" t="s">
        <v>51</v>
      </c>
      <c r="I844" t="s">
        <v>36</v>
      </c>
      <c r="J844" t="s">
        <v>37</v>
      </c>
      <c r="K844">
        <v>5</v>
      </c>
      <c r="L844">
        <v>45283.42</v>
      </c>
      <c r="M844">
        <v>226417.1</v>
      </c>
      <c r="N844">
        <f t="shared" si="40"/>
        <v>226417.09999999998</v>
      </c>
      <c r="O844" t="str">
        <f t="shared" si="41"/>
        <v>Medium</v>
      </c>
    </row>
    <row r="845" spans="1:15" x14ac:dyDescent="0.25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tr">
        <f t="shared" si="39"/>
        <v>Middle Age</v>
      </c>
      <c r="G845" t="s">
        <v>16</v>
      </c>
      <c r="H845" t="s">
        <v>51</v>
      </c>
      <c r="I845" t="s">
        <v>36</v>
      </c>
      <c r="J845" t="s">
        <v>37</v>
      </c>
      <c r="K845">
        <v>6</v>
      </c>
      <c r="L845">
        <v>37149.97</v>
      </c>
      <c r="M845">
        <v>222899.82</v>
      </c>
      <c r="N845">
        <f t="shared" si="40"/>
        <v>222899.82</v>
      </c>
      <c r="O845" t="str">
        <f t="shared" si="41"/>
        <v>Medium</v>
      </c>
    </row>
    <row r="846" spans="1:15" x14ac:dyDescent="0.25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tr">
        <f t="shared" si="39"/>
        <v>Senior</v>
      </c>
      <c r="G846" t="s">
        <v>16</v>
      </c>
      <c r="H846" t="s">
        <v>35</v>
      </c>
      <c r="I846" t="s">
        <v>25</v>
      </c>
      <c r="J846" t="s">
        <v>26</v>
      </c>
      <c r="K846">
        <v>7</v>
      </c>
      <c r="L846">
        <v>23566.47</v>
      </c>
      <c r="M846">
        <v>164965.29</v>
      </c>
      <c r="N846">
        <f t="shared" si="40"/>
        <v>164965.29</v>
      </c>
      <c r="O846" t="str">
        <f t="shared" si="41"/>
        <v>Low</v>
      </c>
    </row>
    <row r="847" spans="1:15" x14ac:dyDescent="0.25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tr">
        <f t="shared" si="39"/>
        <v>Senior</v>
      </c>
      <c r="G847" t="s">
        <v>24</v>
      </c>
      <c r="H847" t="s">
        <v>51</v>
      </c>
      <c r="I847" t="s">
        <v>70</v>
      </c>
      <c r="J847" t="s">
        <v>71</v>
      </c>
      <c r="K847">
        <v>10</v>
      </c>
      <c r="L847">
        <v>1557.12</v>
      </c>
      <c r="M847">
        <v>15571.2</v>
      </c>
      <c r="N847">
        <f t="shared" si="40"/>
        <v>15571.199999999999</v>
      </c>
      <c r="O847" t="str">
        <f t="shared" si="41"/>
        <v>Low</v>
      </c>
    </row>
    <row r="848" spans="1:15" x14ac:dyDescent="0.25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tr">
        <f t="shared" si="39"/>
        <v>Young Adult</v>
      </c>
      <c r="G848" t="s">
        <v>24</v>
      </c>
      <c r="H848" t="s">
        <v>51</v>
      </c>
      <c r="I848" t="s">
        <v>25</v>
      </c>
      <c r="J848" t="s">
        <v>26</v>
      </c>
      <c r="K848">
        <v>1</v>
      </c>
      <c r="L848">
        <v>38929.370000000003</v>
      </c>
      <c r="M848">
        <v>38929.370000000003</v>
      </c>
      <c r="N848">
        <f t="shared" si="40"/>
        <v>38929.370000000003</v>
      </c>
      <c r="O848" t="str">
        <f t="shared" si="41"/>
        <v>Low</v>
      </c>
    </row>
    <row r="849" spans="1:15" x14ac:dyDescent="0.25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tr">
        <f t="shared" si="39"/>
        <v>Adult</v>
      </c>
      <c r="G849" t="s">
        <v>24</v>
      </c>
      <c r="H849" t="s">
        <v>17</v>
      </c>
      <c r="I849" t="s">
        <v>76</v>
      </c>
      <c r="J849" t="s">
        <v>77</v>
      </c>
      <c r="K849">
        <v>2</v>
      </c>
      <c r="L849">
        <v>43357.83</v>
      </c>
      <c r="M849">
        <v>86715.66</v>
      </c>
      <c r="N849">
        <f t="shared" si="40"/>
        <v>86715.66</v>
      </c>
      <c r="O849" t="str">
        <f t="shared" si="41"/>
        <v>Low</v>
      </c>
    </row>
    <row r="850" spans="1:15" x14ac:dyDescent="0.25">
      <c r="A850" t="s">
        <v>2409</v>
      </c>
      <c r="B850" t="s">
        <v>1138</v>
      </c>
      <c r="C850" t="s">
        <v>2410</v>
      </c>
      <c r="D850" t="s">
        <v>548</v>
      </c>
      <c r="E850">
        <v>41</v>
      </c>
      <c r="F850" t="str">
        <f t="shared" si="39"/>
        <v>Middle Age</v>
      </c>
      <c r="G850" t="s">
        <v>24</v>
      </c>
      <c r="H850" t="s">
        <v>35</v>
      </c>
      <c r="I850" t="s">
        <v>18</v>
      </c>
      <c r="J850" t="s">
        <v>19</v>
      </c>
      <c r="K850">
        <v>9</v>
      </c>
      <c r="L850">
        <v>30091.26</v>
      </c>
      <c r="M850">
        <v>270821.34000000003</v>
      </c>
      <c r="N850">
        <f t="shared" si="40"/>
        <v>270821.33999999997</v>
      </c>
      <c r="O850" t="str">
        <f t="shared" si="41"/>
        <v>Medium</v>
      </c>
    </row>
    <row r="851" spans="1:15" x14ac:dyDescent="0.25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tr">
        <f t="shared" si="39"/>
        <v>Young Adult</v>
      </c>
      <c r="G851" t="s">
        <v>24</v>
      </c>
      <c r="H851" t="s">
        <v>102</v>
      </c>
      <c r="I851" t="s">
        <v>76</v>
      </c>
      <c r="J851" t="s">
        <v>77</v>
      </c>
      <c r="K851">
        <v>10</v>
      </c>
      <c r="L851">
        <v>3051.95</v>
      </c>
      <c r="M851">
        <v>30519.5</v>
      </c>
      <c r="N851">
        <f t="shared" si="40"/>
        <v>30519.5</v>
      </c>
      <c r="O851" t="str">
        <f t="shared" si="41"/>
        <v>Low</v>
      </c>
    </row>
    <row r="852" spans="1:15" x14ac:dyDescent="0.25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tr">
        <f t="shared" si="39"/>
        <v>Young Adult</v>
      </c>
      <c r="G852" t="s">
        <v>16</v>
      </c>
      <c r="H852" t="s">
        <v>60</v>
      </c>
      <c r="I852" t="s">
        <v>70</v>
      </c>
      <c r="J852" t="s">
        <v>71</v>
      </c>
      <c r="K852">
        <v>3</v>
      </c>
      <c r="L852">
        <v>31063.57</v>
      </c>
      <c r="M852">
        <v>93190.71</v>
      </c>
      <c r="N852">
        <f t="shared" si="40"/>
        <v>93190.709999999992</v>
      </c>
      <c r="O852" t="str">
        <f t="shared" si="41"/>
        <v>Low</v>
      </c>
    </row>
    <row r="853" spans="1:15" x14ac:dyDescent="0.25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tr">
        <f t="shared" si="39"/>
        <v>Young Adult</v>
      </c>
      <c r="G853" t="s">
        <v>24</v>
      </c>
      <c r="H853" t="s">
        <v>69</v>
      </c>
      <c r="I853" t="s">
        <v>18</v>
      </c>
      <c r="J853" t="s">
        <v>19</v>
      </c>
      <c r="K853">
        <v>10</v>
      </c>
      <c r="L853">
        <v>5580.23</v>
      </c>
      <c r="M853">
        <v>55802.3</v>
      </c>
      <c r="N853">
        <f t="shared" si="40"/>
        <v>55802.299999999996</v>
      </c>
      <c r="O853" t="str">
        <f t="shared" si="41"/>
        <v>Low</v>
      </c>
    </row>
    <row r="854" spans="1:15" x14ac:dyDescent="0.25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tr">
        <f t="shared" si="39"/>
        <v>Adult</v>
      </c>
      <c r="G854" t="s">
        <v>24</v>
      </c>
      <c r="H854" t="s">
        <v>115</v>
      </c>
      <c r="I854" t="s">
        <v>25</v>
      </c>
      <c r="J854" t="s">
        <v>26</v>
      </c>
      <c r="K854">
        <v>8</v>
      </c>
      <c r="L854">
        <v>35859.94</v>
      </c>
      <c r="M854">
        <v>286879.52</v>
      </c>
      <c r="N854">
        <f t="shared" si="40"/>
        <v>286879.52</v>
      </c>
      <c r="O854" t="str">
        <f t="shared" si="41"/>
        <v>Medium</v>
      </c>
    </row>
    <row r="855" spans="1:15" x14ac:dyDescent="0.25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tr">
        <f t="shared" si="39"/>
        <v>Middle Age</v>
      </c>
      <c r="G855" t="s">
        <v>24</v>
      </c>
      <c r="H855" t="s">
        <v>51</v>
      </c>
      <c r="I855" t="s">
        <v>70</v>
      </c>
      <c r="J855" t="s">
        <v>71</v>
      </c>
      <c r="K855">
        <v>5</v>
      </c>
      <c r="L855">
        <v>47893</v>
      </c>
      <c r="M855">
        <v>239465</v>
      </c>
      <c r="N855">
        <f t="shared" si="40"/>
        <v>239465</v>
      </c>
      <c r="O855" t="str">
        <f t="shared" si="41"/>
        <v>Medium</v>
      </c>
    </row>
    <row r="856" spans="1:15" x14ac:dyDescent="0.25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tr">
        <f t="shared" si="39"/>
        <v>Adult</v>
      </c>
      <c r="G856" t="s">
        <v>16</v>
      </c>
      <c r="H856" t="s">
        <v>17</v>
      </c>
      <c r="I856" t="s">
        <v>70</v>
      </c>
      <c r="J856" t="s">
        <v>71</v>
      </c>
      <c r="K856">
        <v>2</v>
      </c>
      <c r="L856">
        <v>47996.02</v>
      </c>
      <c r="M856">
        <v>95992.04</v>
      </c>
      <c r="N856">
        <f t="shared" si="40"/>
        <v>95992.04</v>
      </c>
      <c r="O856" t="str">
        <f t="shared" si="41"/>
        <v>Low</v>
      </c>
    </row>
    <row r="857" spans="1:15" x14ac:dyDescent="0.25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tr">
        <f t="shared" si="39"/>
        <v>Young Adult</v>
      </c>
      <c r="G857" t="s">
        <v>24</v>
      </c>
      <c r="H857" t="s">
        <v>35</v>
      </c>
      <c r="I857" t="s">
        <v>70</v>
      </c>
      <c r="J857" t="s">
        <v>71</v>
      </c>
      <c r="K857">
        <v>1</v>
      </c>
      <c r="L857">
        <v>42500.65</v>
      </c>
      <c r="M857">
        <v>42500.65</v>
      </c>
      <c r="N857">
        <f t="shared" si="40"/>
        <v>42500.65</v>
      </c>
      <c r="O857" t="str">
        <f t="shared" si="41"/>
        <v>Low</v>
      </c>
    </row>
    <row r="858" spans="1:15" x14ac:dyDescent="0.25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tr">
        <f t="shared" si="39"/>
        <v>Adult</v>
      </c>
      <c r="G858" t="s">
        <v>16</v>
      </c>
      <c r="H858" t="s">
        <v>69</v>
      </c>
      <c r="I858" t="s">
        <v>18</v>
      </c>
      <c r="J858" t="s">
        <v>19</v>
      </c>
      <c r="K858">
        <v>8</v>
      </c>
      <c r="L858">
        <v>7543.31</v>
      </c>
      <c r="M858">
        <v>60346.48</v>
      </c>
      <c r="N858">
        <f t="shared" si="40"/>
        <v>60346.48</v>
      </c>
      <c r="O858" t="str">
        <f t="shared" si="41"/>
        <v>Low</v>
      </c>
    </row>
    <row r="859" spans="1:15" x14ac:dyDescent="0.25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tr">
        <f t="shared" si="39"/>
        <v>Middle Age</v>
      </c>
      <c r="G859" t="s">
        <v>16</v>
      </c>
      <c r="H859" t="s">
        <v>17</v>
      </c>
      <c r="I859" t="s">
        <v>25</v>
      </c>
      <c r="J859" t="s">
        <v>26</v>
      </c>
      <c r="K859">
        <v>4</v>
      </c>
      <c r="L859">
        <v>7779.34</v>
      </c>
      <c r="M859">
        <v>31117.360000000001</v>
      </c>
      <c r="N859">
        <f t="shared" si="40"/>
        <v>31117.360000000001</v>
      </c>
      <c r="O859" t="str">
        <f t="shared" si="41"/>
        <v>Low</v>
      </c>
    </row>
    <row r="860" spans="1:15" x14ac:dyDescent="0.25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tr">
        <f t="shared" si="39"/>
        <v>Middle Age</v>
      </c>
      <c r="G860" t="s">
        <v>16</v>
      </c>
      <c r="H860" t="s">
        <v>35</v>
      </c>
      <c r="I860" t="s">
        <v>36</v>
      </c>
      <c r="J860" t="s">
        <v>37</v>
      </c>
      <c r="K860">
        <v>6</v>
      </c>
      <c r="L860">
        <v>35959.07</v>
      </c>
      <c r="M860">
        <v>215754.42</v>
      </c>
      <c r="N860">
        <f t="shared" si="40"/>
        <v>215754.41999999998</v>
      </c>
      <c r="O860" t="str">
        <f t="shared" si="41"/>
        <v>Medium</v>
      </c>
    </row>
    <row r="861" spans="1:15" x14ac:dyDescent="0.25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tr">
        <f t="shared" si="39"/>
        <v>Middle Age</v>
      </c>
      <c r="G861" t="s">
        <v>24</v>
      </c>
      <c r="H861" t="s">
        <v>51</v>
      </c>
      <c r="I861" t="s">
        <v>36</v>
      </c>
      <c r="J861" t="s">
        <v>37</v>
      </c>
      <c r="K861">
        <v>7</v>
      </c>
      <c r="L861">
        <v>9471.49</v>
      </c>
      <c r="M861">
        <v>66300.429999999993</v>
      </c>
      <c r="N861">
        <f t="shared" si="40"/>
        <v>66300.429999999993</v>
      </c>
      <c r="O861" t="str">
        <f t="shared" si="41"/>
        <v>Low</v>
      </c>
    </row>
    <row r="862" spans="1:15" x14ac:dyDescent="0.25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tr">
        <f t="shared" si="39"/>
        <v>Senior</v>
      </c>
      <c r="G862" t="s">
        <v>16</v>
      </c>
      <c r="H862" t="s">
        <v>102</v>
      </c>
      <c r="I862" t="s">
        <v>70</v>
      </c>
      <c r="J862" t="s">
        <v>71</v>
      </c>
      <c r="K862">
        <v>8</v>
      </c>
      <c r="L862">
        <v>26327.39</v>
      </c>
      <c r="M862">
        <v>210619.12</v>
      </c>
      <c r="N862">
        <f t="shared" si="40"/>
        <v>210619.12</v>
      </c>
      <c r="O862" t="str">
        <f t="shared" si="41"/>
        <v>Medium</v>
      </c>
    </row>
    <row r="863" spans="1:15" x14ac:dyDescent="0.25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tr">
        <f t="shared" si="39"/>
        <v>Senior</v>
      </c>
      <c r="G863" t="s">
        <v>16</v>
      </c>
      <c r="H863" t="s">
        <v>69</v>
      </c>
      <c r="I863" t="s">
        <v>76</v>
      </c>
      <c r="J863" t="s">
        <v>77</v>
      </c>
      <c r="K863">
        <v>9</v>
      </c>
      <c r="L863">
        <v>48313.36</v>
      </c>
      <c r="M863">
        <v>434820.24</v>
      </c>
      <c r="N863">
        <f t="shared" si="40"/>
        <v>434820.24</v>
      </c>
      <c r="O863" t="str">
        <f t="shared" si="41"/>
        <v>High</v>
      </c>
    </row>
    <row r="864" spans="1:15" x14ac:dyDescent="0.25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tr">
        <f t="shared" si="39"/>
        <v>Young Adult</v>
      </c>
      <c r="G864" t="s">
        <v>16</v>
      </c>
      <c r="H864" t="s">
        <v>115</v>
      </c>
      <c r="I864" t="s">
        <v>47</v>
      </c>
      <c r="J864" t="s">
        <v>37</v>
      </c>
      <c r="K864">
        <v>2</v>
      </c>
      <c r="L864">
        <v>45217.919999999998</v>
      </c>
      <c r="M864">
        <v>90435.839999999997</v>
      </c>
      <c r="N864">
        <f t="shared" si="40"/>
        <v>90435.839999999997</v>
      </c>
      <c r="O864" t="str">
        <f t="shared" si="41"/>
        <v>Low</v>
      </c>
    </row>
    <row r="865" spans="1:15" x14ac:dyDescent="0.25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tr">
        <f t="shared" si="39"/>
        <v>Adult</v>
      </c>
      <c r="G865" t="s">
        <v>16</v>
      </c>
      <c r="H865" t="s">
        <v>51</v>
      </c>
      <c r="I865" t="s">
        <v>76</v>
      </c>
      <c r="J865" t="s">
        <v>77</v>
      </c>
      <c r="K865">
        <v>2</v>
      </c>
      <c r="L865">
        <v>40130.21</v>
      </c>
      <c r="M865">
        <v>80260.42</v>
      </c>
      <c r="N865">
        <f t="shared" si="40"/>
        <v>80260.42</v>
      </c>
      <c r="O865" t="str">
        <f t="shared" si="41"/>
        <v>Low</v>
      </c>
    </row>
    <row r="866" spans="1:15" x14ac:dyDescent="0.25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tr">
        <f t="shared" si="39"/>
        <v>Middle Age</v>
      </c>
      <c r="G866" t="s">
        <v>16</v>
      </c>
      <c r="H866" t="s">
        <v>46</v>
      </c>
      <c r="I866" t="s">
        <v>76</v>
      </c>
      <c r="J866" t="s">
        <v>77</v>
      </c>
      <c r="K866">
        <v>7</v>
      </c>
      <c r="L866">
        <v>283.10000000000002</v>
      </c>
      <c r="M866">
        <v>1981.7</v>
      </c>
      <c r="N866">
        <f t="shared" si="40"/>
        <v>1981.7000000000003</v>
      </c>
      <c r="O866" t="str">
        <f t="shared" si="41"/>
        <v>Low</v>
      </c>
    </row>
    <row r="867" spans="1:15" x14ac:dyDescent="0.25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tr">
        <f t="shared" si="39"/>
        <v>Senior</v>
      </c>
      <c r="G867" t="s">
        <v>24</v>
      </c>
      <c r="H867" t="s">
        <v>17</v>
      </c>
      <c r="I867" t="s">
        <v>76</v>
      </c>
      <c r="J867" t="s">
        <v>77</v>
      </c>
      <c r="K867">
        <v>5</v>
      </c>
      <c r="L867">
        <v>7521.13</v>
      </c>
      <c r="M867">
        <v>37605.65</v>
      </c>
      <c r="N867">
        <f t="shared" si="40"/>
        <v>37605.65</v>
      </c>
      <c r="O867" t="str">
        <f t="shared" si="41"/>
        <v>Low</v>
      </c>
    </row>
    <row r="868" spans="1:15" x14ac:dyDescent="0.25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tr">
        <f t="shared" si="39"/>
        <v>Adult</v>
      </c>
      <c r="G868" t="s">
        <v>24</v>
      </c>
      <c r="H868" t="s">
        <v>115</v>
      </c>
      <c r="I868" t="s">
        <v>70</v>
      </c>
      <c r="J868" t="s">
        <v>71</v>
      </c>
      <c r="K868">
        <v>5</v>
      </c>
      <c r="L868">
        <v>8055.03</v>
      </c>
      <c r="M868">
        <v>40275.15</v>
      </c>
      <c r="N868">
        <f t="shared" si="40"/>
        <v>40275.15</v>
      </c>
      <c r="O868" t="str">
        <f t="shared" si="41"/>
        <v>Low</v>
      </c>
    </row>
    <row r="869" spans="1:15" x14ac:dyDescent="0.25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tr">
        <f t="shared" si="39"/>
        <v>Senior</v>
      </c>
      <c r="G869" t="s">
        <v>24</v>
      </c>
      <c r="H869" t="s">
        <v>69</v>
      </c>
      <c r="I869" t="s">
        <v>25</v>
      </c>
      <c r="J869" t="s">
        <v>26</v>
      </c>
      <c r="K869">
        <v>4</v>
      </c>
      <c r="L869">
        <v>28263.33</v>
      </c>
      <c r="M869">
        <v>113053.32</v>
      </c>
      <c r="N869">
        <f t="shared" si="40"/>
        <v>113053.32</v>
      </c>
      <c r="O869" t="str">
        <f t="shared" si="41"/>
        <v>Low</v>
      </c>
    </row>
    <row r="870" spans="1:15" x14ac:dyDescent="0.25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tr">
        <f t="shared" si="39"/>
        <v>Adult</v>
      </c>
      <c r="G870" t="s">
        <v>16</v>
      </c>
      <c r="H870" t="s">
        <v>35</v>
      </c>
      <c r="I870" t="s">
        <v>70</v>
      </c>
      <c r="J870" t="s">
        <v>71</v>
      </c>
      <c r="K870">
        <v>4</v>
      </c>
      <c r="L870">
        <v>12941.53</v>
      </c>
      <c r="M870">
        <v>51766.12</v>
      </c>
      <c r="N870">
        <f t="shared" si="40"/>
        <v>51766.12</v>
      </c>
      <c r="O870" t="str">
        <f t="shared" si="41"/>
        <v>Low</v>
      </c>
    </row>
    <row r="871" spans="1:15" x14ac:dyDescent="0.25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tr">
        <f t="shared" si="39"/>
        <v>Young Adult</v>
      </c>
      <c r="G871" t="s">
        <v>16</v>
      </c>
      <c r="H871" t="s">
        <v>115</v>
      </c>
      <c r="I871" t="s">
        <v>25</v>
      </c>
      <c r="J871" t="s">
        <v>26</v>
      </c>
      <c r="K871">
        <v>1</v>
      </c>
      <c r="L871">
        <v>27918.98</v>
      </c>
      <c r="M871">
        <v>27918.98</v>
      </c>
      <c r="N871">
        <f t="shared" si="40"/>
        <v>27918.98</v>
      </c>
      <c r="O871" t="str">
        <f t="shared" si="41"/>
        <v>Low</v>
      </c>
    </row>
    <row r="872" spans="1:15" x14ac:dyDescent="0.25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tr">
        <f t="shared" si="39"/>
        <v>Middle Age</v>
      </c>
      <c r="G872" t="s">
        <v>24</v>
      </c>
      <c r="H872" t="s">
        <v>51</v>
      </c>
      <c r="I872" t="s">
        <v>36</v>
      </c>
      <c r="J872" t="s">
        <v>37</v>
      </c>
      <c r="K872">
        <v>3</v>
      </c>
      <c r="L872">
        <v>21349.35</v>
      </c>
      <c r="M872">
        <v>64048.05</v>
      </c>
      <c r="N872">
        <f t="shared" si="40"/>
        <v>64048.049999999996</v>
      </c>
      <c r="O872" t="str">
        <f t="shared" si="41"/>
        <v>Low</v>
      </c>
    </row>
    <row r="873" spans="1:15" x14ac:dyDescent="0.25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tr">
        <f t="shared" si="39"/>
        <v>Adult</v>
      </c>
      <c r="G873" t="s">
        <v>16</v>
      </c>
      <c r="H873" t="s">
        <v>60</v>
      </c>
      <c r="I873" t="s">
        <v>36</v>
      </c>
      <c r="J873" t="s">
        <v>37</v>
      </c>
      <c r="K873">
        <v>5</v>
      </c>
      <c r="L873">
        <v>27648.52</v>
      </c>
      <c r="M873">
        <v>138242.6</v>
      </c>
      <c r="N873">
        <f t="shared" si="40"/>
        <v>138242.6</v>
      </c>
      <c r="O873" t="str">
        <f t="shared" si="41"/>
        <v>Low</v>
      </c>
    </row>
    <row r="874" spans="1:15" x14ac:dyDescent="0.25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tr">
        <f t="shared" si="39"/>
        <v>Adult</v>
      </c>
      <c r="G874" t="s">
        <v>24</v>
      </c>
      <c r="H874" t="s">
        <v>46</v>
      </c>
      <c r="I874" t="s">
        <v>36</v>
      </c>
      <c r="J874" t="s">
        <v>37</v>
      </c>
      <c r="K874">
        <v>5</v>
      </c>
      <c r="L874">
        <v>39484.31</v>
      </c>
      <c r="M874">
        <v>197421.55</v>
      </c>
      <c r="N874">
        <f t="shared" si="40"/>
        <v>197421.55</v>
      </c>
      <c r="O874" t="str">
        <f t="shared" si="41"/>
        <v>Medium</v>
      </c>
    </row>
    <row r="875" spans="1:15" x14ac:dyDescent="0.25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tr">
        <f t="shared" si="39"/>
        <v>Young Adult</v>
      </c>
      <c r="G875" t="s">
        <v>24</v>
      </c>
      <c r="H875" t="s">
        <v>69</v>
      </c>
      <c r="I875" t="s">
        <v>76</v>
      </c>
      <c r="J875" t="s">
        <v>77</v>
      </c>
      <c r="K875">
        <v>6</v>
      </c>
      <c r="L875">
        <v>2417.66</v>
      </c>
      <c r="M875">
        <v>14505.96</v>
      </c>
      <c r="N875">
        <f t="shared" si="40"/>
        <v>14505.96</v>
      </c>
      <c r="O875" t="str">
        <f t="shared" si="41"/>
        <v>Low</v>
      </c>
    </row>
    <row r="876" spans="1:15" x14ac:dyDescent="0.25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tr">
        <f t="shared" si="39"/>
        <v>Adult</v>
      </c>
      <c r="G876" t="s">
        <v>16</v>
      </c>
      <c r="H876" t="s">
        <v>60</v>
      </c>
      <c r="I876" t="s">
        <v>18</v>
      </c>
      <c r="J876" t="s">
        <v>19</v>
      </c>
      <c r="K876">
        <v>5</v>
      </c>
      <c r="L876">
        <v>40104.71</v>
      </c>
      <c r="M876">
        <v>200523.55</v>
      </c>
      <c r="N876">
        <f t="shared" si="40"/>
        <v>200523.55</v>
      </c>
      <c r="O876" t="str">
        <f t="shared" si="41"/>
        <v>Medium</v>
      </c>
    </row>
    <row r="877" spans="1:15" x14ac:dyDescent="0.25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tr">
        <f t="shared" si="39"/>
        <v>Adult</v>
      </c>
      <c r="G877" t="s">
        <v>24</v>
      </c>
      <c r="H877" t="s">
        <v>17</v>
      </c>
      <c r="I877" t="s">
        <v>25</v>
      </c>
      <c r="J877" t="s">
        <v>26</v>
      </c>
      <c r="K877">
        <v>4</v>
      </c>
      <c r="L877">
        <v>22929.61</v>
      </c>
      <c r="M877">
        <v>91718.44</v>
      </c>
      <c r="N877">
        <f t="shared" si="40"/>
        <v>91718.44</v>
      </c>
      <c r="O877" t="str">
        <f t="shared" si="41"/>
        <v>Low</v>
      </c>
    </row>
    <row r="878" spans="1:15" x14ac:dyDescent="0.25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tr">
        <f t="shared" si="39"/>
        <v>Middle Age</v>
      </c>
      <c r="G878" t="s">
        <v>16</v>
      </c>
      <c r="H878" t="s">
        <v>60</v>
      </c>
      <c r="I878" t="s">
        <v>18</v>
      </c>
      <c r="J878" t="s">
        <v>19</v>
      </c>
      <c r="K878">
        <v>10</v>
      </c>
      <c r="L878">
        <v>23757.31</v>
      </c>
      <c r="M878">
        <v>237573.1</v>
      </c>
      <c r="N878">
        <f t="shared" si="40"/>
        <v>237573.1</v>
      </c>
      <c r="O878" t="str">
        <f t="shared" si="41"/>
        <v>Medium</v>
      </c>
    </row>
    <row r="879" spans="1:15" x14ac:dyDescent="0.25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tr">
        <f t="shared" si="39"/>
        <v>Adult</v>
      </c>
      <c r="G879" t="s">
        <v>24</v>
      </c>
      <c r="H879" t="s">
        <v>46</v>
      </c>
      <c r="I879" t="s">
        <v>47</v>
      </c>
      <c r="J879" t="s">
        <v>37</v>
      </c>
      <c r="K879">
        <v>7</v>
      </c>
      <c r="L879">
        <v>6769.87</v>
      </c>
      <c r="M879">
        <v>47389.09</v>
      </c>
      <c r="N879">
        <f t="shared" si="40"/>
        <v>47389.09</v>
      </c>
      <c r="O879" t="str">
        <f t="shared" si="41"/>
        <v>Low</v>
      </c>
    </row>
    <row r="880" spans="1:15" x14ac:dyDescent="0.25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tr">
        <f t="shared" si="39"/>
        <v>Middle Age</v>
      </c>
      <c r="G880" t="s">
        <v>24</v>
      </c>
      <c r="H880" t="s">
        <v>60</v>
      </c>
      <c r="I880" t="s">
        <v>36</v>
      </c>
      <c r="J880" t="s">
        <v>37</v>
      </c>
      <c r="K880">
        <v>2</v>
      </c>
      <c r="L880">
        <v>7104.93</v>
      </c>
      <c r="M880">
        <v>14209.86</v>
      </c>
      <c r="N880">
        <f t="shared" si="40"/>
        <v>14209.86</v>
      </c>
      <c r="O880" t="str">
        <f t="shared" si="41"/>
        <v>Low</v>
      </c>
    </row>
    <row r="881" spans="1:15" x14ac:dyDescent="0.25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tr">
        <f t="shared" si="39"/>
        <v>Young Adult</v>
      </c>
      <c r="G881" t="s">
        <v>16</v>
      </c>
      <c r="H881" t="s">
        <v>102</v>
      </c>
      <c r="I881" t="s">
        <v>25</v>
      </c>
      <c r="J881" t="s">
        <v>26</v>
      </c>
      <c r="K881">
        <v>2</v>
      </c>
      <c r="L881">
        <v>35430.53</v>
      </c>
      <c r="M881">
        <v>70861.06</v>
      </c>
      <c r="N881">
        <f t="shared" si="40"/>
        <v>70861.06</v>
      </c>
      <c r="O881" t="str">
        <f t="shared" si="41"/>
        <v>Low</v>
      </c>
    </row>
    <row r="882" spans="1:15" x14ac:dyDescent="0.25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tr">
        <f t="shared" si="39"/>
        <v>Middle Age</v>
      </c>
      <c r="G882" t="s">
        <v>16</v>
      </c>
      <c r="H882" t="s">
        <v>46</v>
      </c>
      <c r="I882" t="s">
        <v>18</v>
      </c>
      <c r="J882" t="s">
        <v>19</v>
      </c>
      <c r="K882">
        <v>8</v>
      </c>
      <c r="L882">
        <v>44811.59</v>
      </c>
      <c r="M882">
        <v>358492.72</v>
      </c>
      <c r="N882">
        <f t="shared" si="40"/>
        <v>358492.72</v>
      </c>
      <c r="O882" t="str">
        <f t="shared" si="41"/>
        <v>High</v>
      </c>
    </row>
    <row r="883" spans="1:15" x14ac:dyDescent="0.25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tr">
        <f t="shared" si="39"/>
        <v>Senior</v>
      </c>
      <c r="G883" t="s">
        <v>16</v>
      </c>
      <c r="H883" t="s">
        <v>69</v>
      </c>
      <c r="I883" t="s">
        <v>70</v>
      </c>
      <c r="J883" t="s">
        <v>71</v>
      </c>
      <c r="K883">
        <v>10</v>
      </c>
      <c r="L883">
        <v>16661.37</v>
      </c>
      <c r="M883">
        <v>166613.70000000001</v>
      </c>
      <c r="N883">
        <f t="shared" si="40"/>
        <v>166613.69999999998</v>
      </c>
      <c r="O883" t="str">
        <f t="shared" si="41"/>
        <v>Medium</v>
      </c>
    </row>
    <row r="884" spans="1:15" x14ac:dyDescent="0.25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tr">
        <f t="shared" si="39"/>
        <v>Middle Age</v>
      </c>
      <c r="G884" t="s">
        <v>24</v>
      </c>
      <c r="H884" t="s">
        <v>35</v>
      </c>
      <c r="I884" t="s">
        <v>36</v>
      </c>
      <c r="J884" t="s">
        <v>37</v>
      </c>
      <c r="K884">
        <v>7</v>
      </c>
      <c r="L884">
        <v>14207.04</v>
      </c>
      <c r="M884">
        <v>99449.279999999999</v>
      </c>
      <c r="N884">
        <f t="shared" si="40"/>
        <v>99449.279999999999</v>
      </c>
      <c r="O884" t="str">
        <f t="shared" si="41"/>
        <v>Low</v>
      </c>
    </row>
    <row r="885" spans="1:15" x14ac:dyDescent="0.25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tr">
        <f t="shared" si="39"/>
        <v>Middle Age</v>
      </c>
      <c r="G885" t="s">
        <v>16</v>
      </c>
      <c r="H885" t="s">
        <v>60</v>
      </c>
      <c r="I885" t="s">
        <v>70</v>
      </c>
      <c r="J885" t="s">
        <v>71</v>
      </c>
      <c r="K885">
        <v>8</v>
      </c>
      <c r="L885">
        <v>3220.99</v>
      </c>
      <c r="M885">
        <v>25767.919999999998</v>
      </c>
      <c r="N885">
        <f t="shared" si="40"/>
        <v>25767.919999999998</v>
      </c>
      <c r="O885" t="str">
        <f t="shared" si="41"/>
        <v>Low</v>
      </c>
    </row>
    <row r="886" spans="1:15" x14ac:dyDescent="0.25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tr">
        <f t="shared" si="39"/>
        <v>Adult</v>
      </c>
      <c r="G886" t="s">
        <v>24</v>
      </c>
      <c r="H886" t="s">
        <v>115</v>
      </c>
      <c r="I886" t="s">
        <v>76</v>
      </c>
      <c r="J886" t="s">
        <v>77</v>
      </c>
      <c r="K886">
        <v>1</v>
      </c>
      <c r="L886">
        <v>21572.48</v>
      </c>
      <c r="M886">
        <v>21572.48</v>
      </c>
      <c r="N886">
        <f t="shared" si="40"/>
        <v>21572.48</v>
      </c>
      <c r="O886" t="str">
        <f t="shared" si="41"/>
        <v>Low</v>
      </c>
    </row>
    <row r="887" spans="1:15" x14ac:dyDescent="0.25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tr">
        <f t="shared" si="39"/>
        <v>Young Adult</v>
      </c>
      <c r="G887" t="s">
        <v>16</v>
      </c>
      <c r="H887" t="s">
        <v>115</v>
      </c>
      <c r="I887" t="s">
        <v>18</v>
      </c>
      <c r="J887" t="s">
        <v>19</v>
      </c>
      <c r="K887">
        <v>8</v>
      </c>
      <c r="L887">
        <v>38808.879999999997</v>
      </c>
      <c r="M887">
        <v>310471.03999999998</v>
      </c>
      <c r="N887">
        <f t="shared" si="40"/>
        <v>310471.03999999998</v>
      </c>
      <c r="O887" t="str">
        <f t="shared" si="41"/>
        <v>Medium</v>
      </c>
    </row>
    <row r="888" spans="1:15" x14ac:dyDescent="0.25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tr">
        <f t="shared" si="39"/>
        <v>Middle Age</v>
      </c>
      <c r="G888" t="s">
        <v>24</v>
      </c>
      <c r="H888" t="s">
        <v>69</v>
      </c>
      <c r="I888" t="s">
        <v>25</v>
      </c>
      <c r="J888" t="s">
        <v>26</v>
      </c>
      <c r="K888">
        <v>2</v>
      </c>
      <c r="L888">
        <v>6525.25</v>
      </c>
      <c r="M888">
        <v>13050.5</v>
      </c>
      <c r="N888">
        <f t="shared" si="40"/>
        <v>13050.5</v>
      </c>
      <c r="O888" t="str">
        <f t="shared" si="41"/>
        <v>Low</v>
      </c>
    </row>
    <row r="889" spans="1:15" x14ac:dyDescent="0.25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tr">
        <f t="shared" si="39"/>
        <v>Middle Age</v>
      </c>
      <c r="G889" t="s">
        <v>16</v>
      </c>
      <c r="H889" t="s">
        <v>115</v>
      </c>
      <c r="I889" t="s">
        <v>18</v>
      </c>
      <c r="J889" t="s">
        <v>19</v>
      </c>
      <c r="K889">
        <v>9</v>
      </c>
      <c r="L889">
        <v>36721.83</v>
      </c>
      <c r="M889">
        <v>330496.46999999997</v>
      </c>
      <c r="N889">
        <f t="shared" si="40"/>
        <v>330496.47000000003</v>
      </c>
      <c r="O889" t="str">
        <f t="shared" si="41"/>
        <v>High</v>
      </c>
    </row>
    <row r="890" spans="1:15" x14ac:dyDescent="0.25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tr">
        <f t="shared" si="39"/>
        <v>Adult</v>
      </c>
      <c r="G890" t="s">
        <v>24</v>
      </c>
      <c r="H890" t="s">
        <v>60</v>
      </c>
      <c r="I890" t="s">
        <v>18</v>
      </c>
      <c r="J890" t="s">
        <v>19</v>
      </c>
      <c r="K890">
        <v>1</v>
      </c>
      <c r="L890">
        <v>16506.48</v>
      </c>
      <c r="M890">
        <v>16506.48</v>
      </c>
      <c r="N890">
        <f t="shared" si="40"/>
        <v>16506.48</v>
      </c>
      <c r="O890" t="str">
        <f t="shared" si="41"/>
        <v>Low</v>
      </c>
    </row>
    <row r="891" spans="1:15" x14ac:dyDescent="0.25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tr">
        <f t="shared" si="39"/>
        <v>Young Adult</v>
      </c>
      <c r="G891" t="s">
        <v>16</v>
      </c>
      <c r="H891" t="s">
        <v>51</v>
      </c>
      <c r="I891" t="s">
        <v>25</v>
      </c>
      <c r="J891" t="s">
        <v>26</v>
      </c>
      <c r="K891">
        <v>4</v>
      </c>
      <c r="L891">
        <v>45273.26</v>
      </c>
      <c r="M891">
        <v>181093.04</v>
      </c>
      <c r="N891">
        <f t="shared" si="40"/>
        <v>181093.04</v>
      </c>
      <c r="O891" t="str">
        <f t="shared" si="41"/>
        <v>Medium</v>
      </c>
    </row>
    <row r="892" spans="1:15" x14ac:dyDescent="0.25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tr">
        <f t="shared" si="39"/>
        <v>Senior</v>
      </c>
      <c r="G892" t="s">
        <v>16</v>
      </c>
      <c r="H892" t="s">
        <v>69</v>
      </c>
      <c r="I892" t="s">
        <v>18</v>
      </c>
      <c r="J892" t="s">
        <v>19</v>
      </c>
      <c r="K892">
        <v>1</v>
      </c>
      <c r="L892">
        <v>15061.67</v>
      </c>
      <c r="M892">
        <v>15061.67</v>
      </c>
      <c r="N892">
        <f t="shared" si="40"/>
        <v>15061.67</v>
      </c>
      <c r="O892" t="str">
        <f t="shared" si="41"/>
        <v>Low</v>
      </c>
    </row>
    <row r="893" spans="1:15" x14ac:dyDescent="0.25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tr">
        <f t="shared" si="39"/>
        <v>Young Adult</v>
      </c>
      <c r="G893" t="s">
        <v>16</v>
      </c>
      <c r="H893" t="s">
        <v>115</v>
      </c>
      <c r="I893" t="s">
        <v>70</v>
      </c>
      <c r="J893" t="s">
        <v>71</v>
      </c>
      <c r="K893">
        <v>3</v>
      </c>
      <c r="L893">
        <v>30814.91</v>
      </c>
      <c r="M893">
        <v>92444.73</v>
      </c>
      <c r="N893">
        <f t="shared" si="40"/>
        <v>92444.73</v>
      </c>
      <c r="O893" t="str">
        <f t="shared" si="41"/>
        <v>Low</v>
      </c>
    </row>
    <row r="894" spans="1:15" x14ac:dyDescent="0.25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tr">
        <f t="shared" si="39"/>
        <v>Young Adult</v>
      </c>
      <c r="G894" t="s">
        <v>24</v>
      </c>
      <c r="H894" t="s">
        <v>46</v>
      </c>
      <c r="I894" t="s">
        <v>25</v>
      </c>
      <c r="J894" t="s">
        <v>26</v>
      </c>
      <c r="K894">
        <v>8</v>
      </c>
      <c r="L894">
        <v>36507.56</v>
      </c>
      <c r="M894">
        <v>292060.48</v>
      </c>
      <c r="N894">
        <f t="shared" si="40"/>
        <v>292060.48</v>
      </c>
      <c r="O894" t="str">
        <f t="shared" si="41"/>
        <v>Medium</v>
      </c>
    </row>
    <row r="895" spans="1:15" x14ac:dyDescent="0.25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tr">
        <f t="shared" si="39"/>
        <v>Young Adult</v>
      </c>
      <c r="G895" t="s">
        <v>16</v>
      </c>
      <c r="H895" t="s">
        <v>60</v>
      </c>
      <c r="I895" t="s">
        <v>25</v>
      </c>
      <c r="J895" t="s">
        <v>26</v>
      </c>
      <c r="K895">
        <v>1</v>
      </c>
      <c r="L895">
        <v>31247.14</v>
      </c>
      <c r="M895">
        <v>31247.14</v>
      </c>
      <c r="N895">
        <f t="shared" si="40"/>
        <v>31247.14</v>
      </c>
      <c r="O895" t="str">
        <f t="shared" si="41"/>
        <v>Low</v>
      </c>
    </row>
    <row r="896" spans="1:15" x14ac:dyDescent="0.25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tr">
        <f t="shared" si="39"/>
        <v>Middle Age</v>
      </c>
      <c r="G896" t="s">
        <v>24</v>
      </c>
      <c r="H896" t="s">
        <v>51</v>
      </c>
      <c r="I896" t="s">
        <v>18</v>
      </c>
      <c r="J896" t="s">
        <v>19</v>
      </c>
      <c r="K896">
        <v>3</v>
      </c>
      <c r="L896">
        <v>15350</v>
      </c>
      <c r="M896">
        <v>46050</v>
      </c>
      <c r="N896">
        <f t="shared" si="40"/>
        <v>46050</v>
      </c>
      <c r="O896" t="str">
        <f t="shared" si="41"/>
        <v>Low</v>
      </c>
    </row>
    <row r="897" spans="1:15" x14ac:dyDescent="0.25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tr">
        <f t="shared" si="39"/>
        <v>Senior</v>
      </c>
      <c r="G897" t="s">
        <v>24</v>
      </c>
      <c r="H897" t="s">
        <v>51</v>
      </c>
      <c r="I897" t="s">
        <v>76</v>
      </c>
      <c r="J897" t="s">
        <v>77</v>
      </c>
      <c r="K897">
        <v>9</v>
      </c>
      <c r="L897">
        <v>7148.05</v>
      </c>
      <c r="M897">
        <v>64332.45</v>
      </c>
      <c r="N897">
        <f t="shared" si="40"/>
        <v>64332.450000000004</v>
      </c>
      <c r="O897" t="str">
        <f t="shared" si="41"/>
        <v>Low</v>
      </c>
    </row>
    <row r="898" spans="1:15" x14ac:dyDescent="0.25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tr">
        <f t="shared" si="39"/>
        <v>Young Adult</v>
      </c>
      <c r="G898" t="s">
        <v>16</v>
      </c>
      <c r="H898" t="s">
        <v>51</v>
      </c>
      <c r="I898" t="s">
        <v>47</v>
      </c>
      <c r="J898" t="s">
        <v>37</v>
      </c>
      <c r="K898">
        <v>8</v>
      </c>
      <c r="L898">
        <v>25411.08</v>
      </c>
      <c r="M898">
        <v>203288.64</v>
      </c>
      <c r="N898">
        <f t="shared" si="40"/>
        <v>203288.64</v>
      </c>
      <c r="O898" t="str">
        <f t="shared" si="41"/>
        <v>Medium</v>
      </c>
    </row>
    <row r="899" spans="1:15" x14ac:dyDescent="0.25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tr">
        <f t="shared" ref="F899:F962" si="42">IF(E899&lt;=25,"Young Adult",IF(E899&lt;=40,"Adult",IF(E899&lt;=55,"Middle Age","Senior")))</f>
        <v>Senior</v>
      </c>
      <c r="G899" t="s">
        <v>24</v>
      </c>
      <c r="H899" t="s">
        <v>115</v>
      </c>
      <c r="I899" t="s">
        <v>70</v>
      </c>
      <c r="J899" t="s">
        <v>71</v>
      </c>
      <c r="K899">
        <v>10</v>
      </c>
      <c r="L899">
        <v>28254.51</v>
      </c>
      <c r="M899">
        <v>282545.09999999998</v>
      </c>
      <c r="N899">
        <f t="shared" ref="N899:N962" si="43">K899*L899</f>
        <v>282545.09999999998</v>
      </c>
      <c r="O899" t="str">
        <f t="shared" ref="O899:O962" si="44">IF(M899&lt;165000,"Low",IF(M899&lt;=330000,"Medium","High"))</f>
        <v>Medium</v>
      </c>
    </row>
    <row r="900" spans="1:15" x14ac:dyDescent="0.25">
      <c r="A900" t="s">
        <v>2521</v>
      </c>
      <c r="B900" t="s">
        <v>707</v>
      </c>
      <c r="C900" t="s">
        <v>2522</v>
      </c>
      <c r="D900" t="s">
        <v>2523</v>
      </c>
      <c r="E900">
        <v>41</v>
      </c>
      <c r="F900" t="str">
        <f t="shared" si="42"/>
        <v>Middle Age</v>
      </c>
      <c r="G900" t="s">
        <v>16</v>
      </c>
      <c r="I900" t="s">
        <v>47</v>
      </c>
      <c r="J900" t="s">
        <v>37</v>
      </c>
      <c r="K900">
        <v>5</v>
      </c>
      <c r="L900">
        <v>5069.79</v>
      </c>
      <c r="M900">
        <v>25348.95</v>
      </c>
      <c r="N900">
        <f t="shared" si="43"/>
        <v>25348.95</v>
      </c>
      <c r="O900" t="str">
        <f t="shared" si="44"/>
        <v>Low</v>
      </c>
    </row>
    <row r="901" spans="1:15" x14ac:dyDescent="0.25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tr">
        <f t="shared" si="42"/>
        <v>Adult</v>
      </c>
      <c r="G901" t="s">
        <v>16</v>
      </c>
      <c r="H901" t="s">
        <v>17</v>
      </c>
      <c r="I901" t="s">
        <v>36</v>
      </c>
      <c r="J901" t="s">
        <v>37</v>
      </c>
      <c r="K901">
        <v>3</v>
      </c>
      <c r="L901">
        <v>39619.15</v>
      </c>
      <c r="M901">
        <v>118857.45</v>
      </c>
      <c r="N901">
        <f t="shared" si="43"/>
        <v>118857.45000000001</v>
      </c>
      <c r="O901" t="str">
        <f t="shared" si="44"/>
        <v>Low</v>
      </c>
    </row>
    <row r="902" spans="1:15" x14ac:dyDescent="0.25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tr">
        <f t="shared" si="42"/>
        <v>Middle Age</v>
      </c>
      <c r="G902" t="s">
        <v>16</v>
      </c>
      <c r="H902" t="s">
        <v>69</v>
      </c>
      <c r="I902" t="s">
        <v>47</v>
      </c>
      <c r="J902" t="s">
        <v>37</v>
      </c>
      <c r="K902">
        <v>7</v>
      </c>
      <c r="L902">
        <v>42494.73</v>
      </c>
      <c r="M902">
        <v>297463.11</v>
      </c>
      <c r="N902">
        <f t="shared" si="43"/>
        <v>297463.11000000004</v>
      </c>
      <c r="O902" t="str">
        <f t="shared" si="44"/>
        <v>Medium</v>
      </c>
    </row>
    <row r="903" spans="1:15" x14ac:dyDescent="0.25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tr">
        <f t="shared" si="42"/>
        <v>Senior</v>
      </c>
      <c r="G903" t="s">
        <v>24</v>
      </c>
      <c r="H903" t="s">
        <v>51</v>
      </c>
      <c r="I903" t="s">
        <v>70</v>
      </c>
      <c r="J903" t="s">
        <v>71</v>
      </c>
      <c r="K903">
        <v>6</v>
      </c>
      <c r="L903">
        <v>24739.29</v>
      </c>
      <c r="M903">
        <v>148435.74</v>
      </c>
      <c r="N903">
        <f t="shared" si="43"/>
        <v>148435.74</v>
      </c>
      <c r="O903" t="str">
        <f t="shared" si="44"/>
        <v>Low</v>
      </c>
    </row>
    <row r="904" spans="1:15" x14ac:dyDescent="0.25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tr">
        <f t="shared" si="42"/>
        <v>Young Adult</v>
      </c>
      <c r="G904" t="s">
        <v>24</v>
      </c>
      <c r="H904" t="s">
        <v>102</v>
      </c>
      <c r="I904" t="s">
        <v>76</v>
      </c>
      <c r="J904" t="s">
        <v>77</v>
      </c>
      <c r="K904">
        <v>3</v>
      </c>
      <c r="L904">
        <v>43166.95</v>
      </c>
      <c r="M904">
        <v>129500.85</v>
      </c>
      <c r="N904">
        <f t="shared" si="43"/>
        <v>129500.84999999999</v>
      </c>
      <c r="O904" t="str">
        <f t="shared" si="44"/>
        <v>Low</v>
      </c>
    </row>
    <row r="905" spans="1:15" x14ac:dyDescent="0.25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tr">
        <f t="shared" si="42"/>
        <v>Middle Age</v>
      </c>
      <c r="G905" t="s">
        <v>24</v>
      </c>
      <c r="H905" t="s">
        <v>69</v>
      </c>
      <c r="I905" t="s">
        <v>76</v>
      </c>
      <c r="J905" t="s">
        <v>77</v>
      </c>
      <c r="K905">
        <v>6</v>
      </c>
      <c r="L905">
        <v>43613.07</v>
      </c>
      <c r="M905">
        <v>261678.42</v>
      </c>
      <c r="N905">
        <f t="shared" si="43"/>
        <v>261678.41999999998</v>
      </c>
      <c r="O905" t="str">
        <f t="shared" si="44"/>
        <v>Medium</v>
      </c>
    </row>
    <row r="906" spans="1:15" x14ac:dyDescent="0.25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tr">
        <f t="shared" si="42"/>
        <v>Adult</v>
      </c>
      <c r="G906" t="s">
        <v>24</v>
      </c>
      <c r="H906" t="s">
        <v>46</v>
      </c>
      <c r="I906" t="s">
        <v>76</v>
      </c>
      <c r="J906" t="s">
        <v>77</v>
      </c>
      <c r="K906">
        <v>2</v>
      </c>
      <c r="L906">
        <v>20357.349999999999</v>
      </c>
      <c r="M906">
        <v>40714.699999999997</v>
      </c>
      <c r="N906">
        <f t="shared" si="43"/>
        <v>40714.699999999997</v>
      </c>
      <c r="O906" t="str">
        <f t="shared" si="44"/>
        <v>Low</v>
      </c>
    </row>
    <row r="907" spans="1:15" x14ac:dyDescent="0.25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tr">
        <f t="shared" si="42"/>
        <v>Adult</v>
      </c>
      <c r="G907" t="s">
        <v>24</v>
      </c>
      <c r="H907" t="s">
        <v>60</v>
      </c>
      <c r="I907" t="s">
        <v>76</v>
      </c>
      <c r="J907" t="s">
        <v>77</v>
      </c>
      <c r="K907">
        <v>5</v>
      </c>
      <c r="L907">
        <v>40193.89</v>
      </c>
      <c r="M907">
        <v>200969.45</v>
      </c>
      <c r="N907">
        <f t="shared" si="43"/>
        <v>200969.45</v>
      </c>
      <c r="O907" t="str">
        <f t="shared" si="44"/>
        <v>Medium</v>
      </c>
    </row>
    <row r="908" spans="1:15" x14ac:dyDescent="0.25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tr">
        <f t="shared" si="42"/>
        <v>Middle Age</v>
      </c>
      <c r="G908" t="s">
        <v>24</v>
      </c>
      <c r="H908" t="s">
        <v>46</v>
      </c>
      <c r="I908" t="s">
        <v>76</v>
      </c>
      <c r="J908" t="s">
        <v>77</v>
      </c>
      <c r="K908">
        <v>2</v>
      </c>
      <c r="L908">
        <v>9063.83</v>
      </c>
      <c r="M908">
        <v>18127.66</v>
      </c>
      <c r="N908">
        <f t="shared" si="43"/>
        <v>18127.66</v>
      </c>
      <c r="O908" t="str">
        <f t="shared" si="44"/>
        <v>Low</v>
      </c>
    </row>
    <row r="909" spans="1:15" x14ac:dyDescent="0.25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tr">
        <f t="shared" si="42"/>
        <v>Senior</v>
      </c>
      <c r="G909" t="s">
        <v>16</v>
      </c>
      <c r="H909" t="s">
        <v>69</v>
      </c>
      <c r="I909" t="s">
        <v>47</v>
      </c>
      <c r="J909" t="s">
        <v>37</v>
      </c>
      <c r="K909">
        <v>5</v>
      </c>
      <c r="L909">
        <v>21830.06</v>
      </c>
      <c r="M909">
        <v>109150.3</v>
      </c>
      <c r="N909">
        <f t="shared" si="43"/>
        <v>109150.3</v>
      </c>
      <c r="O909" t="str">
        <f t="shared" si="44"/>
        <v>Low</v>
      </c>
    </row>
    <row r="910" spans="1:15" x14ac:dyDescent="0.25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tr">
        <f t="shared" si="42"/>
        <v>Middle Age</v>
      </c>
      <c r="G910" t="s">
        <v>16</v>
      </c>
      <c r="H910" t="s">
        <v>46</v>
      </c>
      <c r="I910" t="s">
        <v>18</v>
      </c>
      <c r="J910" t="s">
        <v>19</v>
      </c>
      <c r="K910">
        <v>2</v>
      </c>
      <c r="L910">
        <v>39424.04</v>
      </c>
      <c r="M910">
        <v>78848.08</v>
      </c>
      <c r="N910">
        <f t="shared" si="43"/>
        <v>78848.08</v>
      </c>
      <c r="O910" t="str">
        <f t="shared" si="44"/>
        <v>Low</v>
      </c>
    </row>
    <row r="911" spans="1:15" x14ac:dyDescent="0.25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tr">
        <f t="shared" si="42"/>
        <v>Middle Age</v>
      </c>
      <c r="G911" t="s">
        <v>16</v>
      </c>
      <c r="H911" t="s">
        <v>60</v>
      </c>
      <c r="I911" t="s">
        <v>18</v>
      </c>
      <c r="J911" t="s">
        <v>19</v>
      </c>
      <c r="K911">
        <v>2</v>
      </c>
      <c r="L911">
        <v>30743.1</v>
      </c>
      <c r="M911">
        <v>61486.2</v>
      </c>
      <c r="N911">
        <f t="shared" si="43"/>
        <v>61486.2</v>
      </c>
      <c r="O911" t="str">
        <f t="shared" si="44"/>
        <v>Low</v>
      </c>
    </row>
    <row r="912" spans="1:15" x14ac:dyDescent="0.25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tr">
        <f t="shared" si="42"/>
        <v>Middle Age</v>
      </c>
      <c r="G912" t="s">
        <v>24</v>
      </c>
      <c r="H912" t="s">
        <v>102</v>
      </c>
      <c r="I912" t="s">
        <v>47</v>
      </c>
      <c r="J912" t="s">
        <v>37</v>
      </c>
      <c r="K912">
        <v>3</v>
      </c>
      <c r="L912">
        <v>10131.58</v>
      </c>
      <c r="M912">
        <v>30394.74</v>
      </c>
      <c r="N912">
        <f t="shared" si="43"/>
        <v>30394.739999999998</v>
      </c>
      <c r="O912" t="str">
        <f t="shared" si="44"/>
        <v>Low</v>
      </c>
    </row>
    <row r="913" spans="1:15" x14ac:dyDescent="0.25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tr">
        <f t="shared" si="42"/>
        <v>Adult</v>
      </c>
      <c r="G913" t="s">
        <v>16</v>
      </c>
      <c r="H913" t="s">
        <v>51</v>
      </c>
      <c r="I913" t="s">
        <v>25</v>
      </c>
      <c r="J913" t="s">
        <v>26</v>
      </c>
      <c r="K913">
        <v>1</v>
      </c>
      <c r="L913">
        <v>20875.52</v>
      </c>
      <c r="M913">
        <v>20875.52</v>
      </c>
      <c r="N913">
        <f t="shared" si="43"/>
        <v>20875.52</v>
      </c>
      <c r="O913" t="str">
        <f t="shared" si="44"/>
        <v>Low</v>
      </c>
    </row>
    <row r="914" spans="1:15" x14ac:dyDescent="0.25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tr">
        <f t="shared" si="42"/>
        <v>Young Adult</v>
      </c>
      <c r="G914" t="s">
        <v>16</v>
      </c>
      <c r="H914" t="s">
        <v>115</v>
      </c>
      <c r="I914" t="s">
        <v>70</v>
      </c>
      <c r="J914" t="s">
        <v>71</v>
      </c>
      <c r="K914">
        <v>3</v>
      </c>
      <c r="L914">
        <v>43152.69</v>
      </c>
      <c r="M914">
        <v>129458.07</v>
      </c>
      <c r="N914">
        <f t="shared" si="43"/>
        <v>129458.07</v>
      </c>
      <c r="O914" t="str">
        <f t="shared" si="44"/>
        <v>Low</v>
      </c>
    </row>
    <row r="915" spans="1:15" x14ac:dyDescent="0.25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tr">
        <f t="shared" si="42"/>
        <v>Senior</v>
      </c>
      <c r="G915" t="s">
        <v>16</v>
      </c>
      <c r="H915" t="s">
        <v>46</v>
      </c>
      <c r="I915" t="s">
        <v>70</v>
      </c>
      <c r="J915" t="s">
        <v>71</v>
      </c>
      <c r="K915">
        <v>1</v>
      </c>
      <c r="L915">
        <v>3239.94</v>
      </c>
      <c r="M915">
        <v>3239.94</v>
      </c>
      <c r="N915">
        <f t="shared" si="43"/>
        <v>3239.94</v>
      </c>
      <c r="O915" t="str">
        <f t="shared" si="44"/>
        <v>Low</v>
      </c>
    </row>
    <row r="916" spans="1:15" x14ac:dyDescent="0.25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tr">
        <f t="shared" si="42"/>
        <v>Adult</v>
      </c>
      <c r="G916" t="s">
        <v>16</v>
      </c>
      <c r="H916" t="s">
        <v>60</v>
      </c>
      <c r="I916" t="s">
        <v>70</v>
      </c>
      <c r="J916" t="s">
        <v>71</v>
      </c>
      <c r="K916">
        <v>1</v>
      </c>
      <c r="L916">
        <v>10625.65</v>
      </c>
      <c r="M916">
        <v>10625.65</v>
      </c>
      <c r="N916">
        <f t="shared" si="43"/>
        <v>10625.65</v>
      </c>
      <c r="O916" t="str">
        <f t="shared" si="44"/>
        <v>Low</v>
      </c>
    </row>
    <row r="917" spans="1:15" x14ac:dyDescent="0.25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tr">
        <f t="shared" si="42"/>
        <v>Adult</v>
      </c>
      <c r="G917" t="s">
        <v>16</v>
      </c>
      <c r="H917" t="s">
        <v>115</v>
      </c>
      <c r="I917" t="s">
        <v>36</v>
      </c>
      <c r="J917" t="s">
        <v>37</v>
      </c>
      <c r="K917">
        <v>3</v>
      </c>
      <c r="L917">
        <v>30169.38</v>
      </c>
      <c r="M917">
        <v>90508.14</v>
      </c>
      <c r="N917">
        <f t="shared" si="43"/>
        <v>90508.14</v>
      </c>
      <c r="O917" t="str">
        <f t="shared" si="44"/>
        <v>Low</v>
      </c>
    </row>
    <row r="918" spans="1:15" x14ac:dyDescent="0.25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tr">
        <f t="shared" si="42"/>
        <v>Adult</v>
      </c>
      <c r="G918" t="s">
        <v>16</v>
      </c>
      <c r="H918" t="s">
        <v>51</v>
      </c>
      <c r="I918" t="s">
        <v>36</v>
      </c>
      <c r="J918" t="s">
        <v>37</v>
      </c>
      <c r="K918">
        <v>2</v>
      </c>
      <c r="L918">
        <v>29914.46</v>
      </c>
      <c r="M918">
        <v>59828.92</v>
      </c>
      <c r="N918">
        <f t="shared" si="43"/>
        <v>59828.92</v>
      </c>
      <c r="O918" t="str">
        <f t="shared" si="44"/>
        <v>Low</v>
      </c>
    </row>
    <row r="919" spans="1:15" x14ac:dyDescent="0.25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tr">
        <f t="shared" si="42"/>
        <v>Middle Age</v>
      </c>
      <c r="G919" t="s">
        <v>16</v>
      </c>
      <c r="H919" t="s">
        <v>115</v>
      </c>
      <c r="I919" t="s">
        <v>70</v>
      </c>
      <c r="J919" t="s">
        <v>71</v>
      </c>
      <c r="K919">
        <v>5</v>
      </c>
      <c r="L919">
        <v>30991.63</v>
      </c>
      <c r="M919">
        <v>154958.15</v>
      </c>
      <c r="N919">
        <f t="shared" si="43"/>
        <v>154958.15</v>
      </c>
      <c r="O919" t="str">
        <f t="shared" si="44"/>
        <v>Low</v>
      </c>
    </row>
    <row r="920" spans="1:15" x14ac:dyDescent="0.25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tr">
        <f t="shared" si="42"/>
        <v>Adult</v>
      </c>
      <c r="G920" t="s">
        <v>16</v>
      </c>
      <c r="H920" t="s">
        <v>17</v>
      </c>
      <c r="I920" t="s">
        <v>36</v>
      </c>
      <c r="J920" t="s">
        <v>37</v>
      </c>
      <c r="K920">
        <v>7</v>
      </c>
      <c r="L920">
        <v>15799.46</v>
      </c>
      <c r="M920">
        <v>110596.22</v>
      </c>
      <c r="N920">
        <f t="shared" si="43"/>
        <v>110596.22</v>
      </c>
      <c r="O920" t="str">
        <f t="shared" si="44"/>
        <v>Low</v>
      </c>
    </row>
    <row r="921" spans="1:15" x14ac:dyDescent="0.25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tr">
        <f t="shared" si="42"/>
        <v>Adult</v>
      </c>
      <c r="G921" t="s">
        <v>24</v>
      </c>
      <c r="H921" t="s">
        <v>69</v>
      </c>
      <c r="I921" t="s">
        <v>36</v>
      </c>
      <c r="J921" t="s">
        <v>37</v>
      </c>
      <c r="K921">
        <v>6</v>
      </c>
      <c r="L921">
        <v>10404.98</v>
      </c>
      <c r="M921">
        <v>62429.88</v>
      </c>
      <c r="N921">
        <f t="shared" si="43"/>
        <v>62429.88</v>
      </c>
      <c r="O921" t="str">
        <f t="shared" si="44"/>
        <v>Low</v>
      </c>
    </row>
    <row r="922" spans="1:15" x14ac:dyDescent="0.25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tr">
        <f t="shared" si="42"/>
        <v>Senior</v>
      </c>
      <c r="G922" t="s">
        <v>24</v>
      </c>
      <c r="H922" t="s">
        <v>46</v>
      </c>
      <c r="I922" t="s">
        <v>25</v>
      </c>
      <c r="J922" t="s">
        <v>26</v>
      </c>
      <c r="K922">
        <v>1</v>
      </c>
      <c r="L922">
        <v>21496.95</v>
      </c>
      <c r="M922">
        <v>21496.95</v>
      </c>
      <c r="N922">
        <f t="shared" si="43"/>
        <v>21496.95</v>
      </c>
      <c r="O922" t="str">
        <f t="shared" si="44"/>
        <v>Low</v>
      </c>
    </row>
    <row r="923" spans="1:15" x14ac:dyDescent="0.25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tr">
        <f t="shared" si="42"/>
        <v>Adult</v>
      </c>
      <c r="G923" t="s">
        <v>24</v>
      </c>
      <c r="H923" t="s">
        <v>102</v>
      </c>
      <c r="I923" t="s">
        <v>18</v>
      </c>
      <c r="J923" t="s">
        <v>19</v>
      </c>
      <c r="K923">
        <v>7</v>
      </c>
      <c r="L923">
        <v>42785.56</v>
      </c>
      <c r="M923">
        <v>299498.92</v>
      </c>
      <c r="N923">
        <f t="shared" si="43"/>
        <v>299498.92</v>
      </c>
      <c r="O923" t="str">
        <f t="shared" si="44"/>
        <v>Medium</v>
      </c>
    </row>
    <row r="924" spans="1:15" x14ac:dyDescent="0.25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tr">
        <f t="shared" si="42"/>
        <v>Middle Age</v>
      </c>
      <c r="G924" t="s">
        <v>24</v>
      </c>
      <c r="H924" t="s">
        <v>17</v>
      </c>
      <c r="I924" t="s">
        <v>18</v>
      </c>
      <c r="J924" t="s">
        <v>19</v>
      </c>
      <c r="K924">
        <v>10</v>
      </c>
      <c r="L924">
        <v>9123.6</v>
      </c>
      <c r="M924">
        <v>91236</v>
      </c>
      <c r="N924">
        <f t="shared" si="43"/>
        <v>91236</v>
      </c>
      <c r="O924" t="str">
        <f t="shared" si="44"/>
        <v>Low</v>
      </c>
    </row>
    <row r="925" spans="1:15" x14ac:dyDescent="0.25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tr">
        <f t="shared" si="42"/>
        <v>Senior</v>
      </c>
      <c r="G925" t="s">
        <v>16</v>
      </c>
      <c r="H925" t="s">
        <v>69</v>
      </c>
      <c r="I925" t="s">
        <v>36</v>
      </c>
      <c r="J925" t="s">
        <v>37</v>
      </c>
      <c r="K925">
        <v>6</v>
      </c>
      <c r="L925">
        <v>35834.15</v>
      </c>
      <c r="M925">
        <v>215004.9</v>
      </c>
      <c r="N925">
        <f t="shared" si="43"/>
        <v>215004.90000000002</v>
      </c>
      <c r="O925" t="str">
        <f t="shared" si="44"/>
        <v>Medium</v>
      </c>
    </row>
    <row r="926" spans="1:15" x14ac:dyDescent="0.25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tr">
        <f t="shared" si="42"/>
        <v>Middle Age</v>
      </c>
      <c r="G926" t="s">
        <v>16</v>
      </c>
      <c r="H926" t="s">
        <v>69</v>
      </c>
      <c r="I926" t="s">
        <v>25</v>
      </c>
      <c r="J926" t="s">
        <v>26</v>
      </c>
      <c r="K926">
        <v>3</v>
      </c>
      <c r="L926">
        <v>653.97</v>
      </c>
      <c r="M926">
        <v>1961.91</v>
      </c>
      <c r="N926">
        <f t="shared" si="43"/>
        <v>1961.91</v>
      </c>
      <c r="O926" t="str">
        <f t="shared" si="44"/>
        <v>Low</v>
      </c>
    </row>
    <row r="927" spans="1:15" x14ac:dyDescent="0.25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tr">
        <f t="shared" si="42"/>
        <v>Middle Age</v>
      </c>
      <c r="G927" t="s">
        <v>24</v>
      </c>
      <c r="H927" t="s">
        <v>35</v>
      </c>
      <c r="I927" t="s">
        <v>36</v>
      </c>
      <c r="J927" t="s">
        <v>37</v>
      </c>
      <c r="K927">
        <v>3</v>
      </c>
      <c r="L927">
        <v>3846.65</v>
      </c>
      <c r="M927">
        <v>11539.95</v>
      </c>
      <c r="N927">
        <f t="shared" si="43"/>
        <v>11539.95</v>
      </c>
      <c r="O927" t="str">
        <f t="shared" si="44"/>
        <v>Low</v>
      </c>
    </row>
    <row r="928" spans="1:15" x14ac:dyDescent="0.25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tr">
        <f t="shared" si="42"/>
        <v>Adult</v>
      </c>
      <c r="G928" t="s">
        <v>16</v>
      </c>
      <c r="H928" t="s">
        <v>17</v>
      </c>
      <c r="I928" t="s">
        <v>18</v>
      </c>
      <c r="J928" t="s">
        <v>19</v>
      </c>
      <c r="K928">
        <v>10</v>
      </c>
      <c r="L928">
        <v>40522.559999999998</v>
      </c>
      <c r="M928">
        <v>405225.6</v>
      </c>
      <c r="N928">
        <f t="shared" si="43"/>
        <v>405225.6</v>
      </c>
      <c r="O928" t="str">
        <f t="shared" si="44"/>
        <v>High</v>
      </c>
    </row>
    <row r="929" spans="1:15" x14ac:dyDescent="0.25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tr">
        <f t="shared" si="42"/>
        <v>Senior</v>
      </c>
      <c r="G929" t="s">
        <v>24</v>
      </c>
      <c r="H929" t="s">
        <v>60</v>
      </c>
      <c r="I929" t="s">
        <v>70</v>
      </c>
      <c r="J929" t="s">
        <v>71</v>
      </c>
      <c r="K929">
        <v>4</v>
      </c>
      <c r="L929">
        <v>39917.24</v>
      </c>
      <c r="M929">
        <v>159668.96</v>
      </c>
      <c r="N929">
        <f t="shared" si="43"/>
        <v>159668.96</v>
      </c>
      <c r="O929" t="str">
        <f t="shared" si="44"/>
        <v>Low</v>
      </c>
    </row>
    <row r="930" spans="1:15" x14ac:dyDescent="0.25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tr">
        <f t="shared" si="42"/>
        <v>Senior</v>
      </c>
      <c r="G930" t="s">
        <v>16</v>
      </c>
      <c r="H930" t="s">
        <v>69</v>
      </c>
      <c r="I930" t="s">
        <v>18</v>
      </c>
      <c r="J930" t="s">
        <v>19</v>
      </c>
      <c r="K930">
        <v>1</v>
      </c>
      <c r="L930">
        <v>23886.69</v>
      </c>
      <c r="M930">
        <v>23886.69</v>
      </c>
      <c r="N930">
        <f t="shared" si="43"/>
        <v>23886.69</v>
      </c>
      <c r="O930" t="str">
        <f t="shared" si="44"/>
        <v>Low</v>
      </c>
    </row>
    <row r="931" spans="1:15" x14ac:dyDescent="0.25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tr">
        <f t="shared" si="42"/>
        <v>Adult</v>
      </c>
      <c r="G931" t="s">
        <v>16</v>
      </c>
      <c r="H931" t="s">
        <v>17</v>
      </c>
      <c r="I931" t="s">
        <v>70</v>
      </c>
      <c r="J931" t="s">
        <v>71</v>
      </c>
      <c r="K931">
        <v>1</v>
      </c>
      <c r="L931">
        <v>46629.03</v>
      </c>
      <c r="M931">
        <v>46629.03</v>
      </c>
      <c r="N931">
        <f t="shared" si="43"/>
        <v>46629.03</v>
      </c>
      <c r="O931" t="str">
        <f t="shared" si="44"/>
        <v>Low</v>
      </c>
    </row>
    <row r="932" spans="1:15" x14ac:dyDescent="0.25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tr">
        <f t="shared" si="42"/>
        <v>Middle Age</v>
      </c>
      <c r="G932" t="s">
        <v>24</v>
      </c>
      <c r="H932" t="s">
        <v>60</v>
      </c>
      <c r="I932" t="s">
        <v>47</v>
      </c>
      <c r="J932" t="s">
        <v>37</v>
      </c>
      <c r="K932">
        <v>4</v>
      </c>
      <c r="L932">
        <v>27478.45</v>
      </c>
      <c r="M932">
        <v>109913.8</v>
      </c>
      <c r="N932">
        <f t="shared" si="43"/>
        <v>109913.8</v>
      </c>
      <c r="O932" t="str">
        <f t="shared" si="44"/>
        <v>Low</v>
      </c>
    </row>
    <row r="933" spans="1:15" x14ac:dyDescent="0.25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tr">
        <f t="shared" si="42"/>
        <v>Middle Age</v>
      </c>
      <c r="G933" t="s">
        <v>16</v>
      </c>
      <c r="H933" t="s">
        <v>46</v>
      </c>
      <c r="I933" t="s">
        <v>47</v>
      </c>
      <c r="J933" t="s">
        <v>37</v>
      </c>
      <c r="K933">
        <v>8</v>
      </c>
      <c r="L933">
        <v>4925.05</v>
      </c>
      <c r="M933">
        <v>39400.400000000001</v>
      </c>
      <c r="N933">
        <f t="shared" si="43"/>
        <v>39400.400000000001</v>
      </c>
      <c r="O933" t="str">
        <f t="shared" si="44"/>
        <v>Low</v>
      </c>
    </row>
    <row r="934" spans="1:15" x14ac:dyDescent="0.25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tr">
        <f t="shared" si="42"/>
        <v>Senior</v>
      </c>
      <c r="G934" t="s">
        <v>24</v>
      </c>
      <c r="H934" t="s">
        <v>35</v>
      </c>
      <c r="I934" t="s">
        <v>70</v>
      </c>
      <c r="J934" t="s">
        <v>71</v>
      </c>
      <c r="K934">
        <v>8</v>
      </c>
      <c r="L934">
        <v>35023.64</v>
      </c>
      <c r="M934">
        <v>280189.12</v>
      </c>
      <c r="N934">
        <f t="shared" si="43"/>
        <v>280189.12</v>
      </c>
      <c r="O934" t="str">
        <f t="shared" si="44"/>
        <v>Medium</v>
      </c>
    </row>
    <row r="935" spans="1:15" x14ac:dyDescent="0.25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tr">
        <f t="shared" si="42"/>
        <v>Adult</v>
      </c>
      <c r="G935" t="s">
        <v>16</v>
      </c>
      <c r="H935" t="s">
        <v>69</v>
      </c>
      <c r="I935" t="s">
        <v>76</v>
      </c>
      <c r="J935" t="s">
        <v>77</v>
      </c>
      <c r="K935">
        <v>2</v>
      </c>
      <c r="L935">
        <v>49387.199999999997</v>
      </c>
      <c r="M935">
        <v>98774.399999999994</v>
      </c>
      <c r="N935">
        <f t="shared" si="43"/>
        <v>98774.399999999994</v>
      </c>
      <c r="O935" t="str">
        <f t="shared" si="44"/>
        <v>Low</v>
      </c>
    </row>
    <row r="936" spans="1:15" x14ac:dyDescent="0.25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tr">
        <f t="shared" si="42"/>
        <v>Senior</v>
      </c>
      <c r="G936" t="s">
        <v>16</v>
      </c>
      <c r="H936" t="s">
        <v>35</v>
      </c>
      <c r="I936" t="s">
        <v>18</v>
      </c>
      <c r="J936" t="s">
        <v>19</v>
      </c>
      <c r="K936">
        <v>4</v>
      </c>
      <c r="L936">
        <v>30607.95</v>
      </c>
      <c r="M936">
        <v>122431.8</v>
      </c>
      <c r="N936">
        <f t="shared" si="43"/>
        <v>122431.8</v>
      </c>
      <c r="O936" t="str">
        <f t="shared" si="44"/>
        <v>Low</v>
      </c>
    </row>
    <row r="937" spans="1:15" x14ac:dyDescent="0.25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tr">
        <f t="shared" si="42"/>
        <v>Adult</v>
      </c>
      <c r="G937" t="s">
        <v>24</v>
      </c>
      <c r="H937" t="s">
        <v>51</v>
      </c>
      <c r="I937" t="s">
        <v>76</v>
      </c>
      <c r="J937" t="s">
        <v>77</v>
      </c>
      <c r="K937">
        <v>10</v>
      </c>
      <c r="L937">
        <v>7627.77</v>
      </c>
      <c r="M937">
        <v>76277.7</v>
      </c>
      <c r="N937">
        <f t="shared" si="43"/>
        <v>76277.700000000012</v>
      </c>
      <c r="O937" t="str">
        <f t="shared" si="44"/>
        <v>Low</v>
      </c>
    </row>
    <row r="938" spans="1:15" x14ac:dyDescent="0.25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tr">
        <f t="shared" si="42"/>
        <v>Adult</v>
      </c>
      <c r="G938" t="s">
        <v>24</v>
      </c>
      <c r="H938" t="s">
        <v>115</v>
      </c>
      <c r="I938" t="s">
        <v>70</v>
      </c>
      <c r="J938" t="s">
        <v>71</v>
      </c>
      <c r="K938">
        <v>3</v>
      </c>
      <c r="L938">
        <v>44146.06</v>
      </c>
      <c r="M938">
        <v>132438.18</v>
      </c>
      <c r="N938">
        <f t="shared" si="43"/>
        <v>132438.18</v>
      </c>
      <c r="O938" t="str">
        <f t="shared" si="44"/>
        <v>Low</v>
      </c>
    </row>
    <row r="939" spans="1:15" x14ac:dyDescent="0.25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tr">
        <f t="shared" si="42"/>
        <v>Senior</v>
      </c>
      <c r="G939" t="s">
        <v>24</v>
      </c>
      <c r="H939" t="s">
        <v>17</v>
      </c>
      <c r="I939" t="s">
        <v>47</v>
      </c>
      <c r="J939" t="s">
        <v>37</v>
      </c>
      <c r="K939">
        <v>7</v>
      </c>
      <c r="L939">
        <v>31015.64</v>
      </c>
      <c r="M939">
        <v>217109.48</v>
      </c>
      <c r="N939">
        <f t="shared" si="43"/>
        <v>217109.47999999998</v>
      </c>
      <c r="O939" t="str">
        <f t="shared" si="44"/>
        <v>Medium</v>
      </c>
    </row>
    <row r="940" spans="1:15" x14ac:dyDescent="0.25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tr">
        <f t="shared" si="42"/>
        <v>Middle Age</v>
      </c>
      <c r="G940" t="s">
        <v>24</v>
      </c>
      <c r="H940" t="s">
        <v>46</v>
      </c>
      <c r="I940" t="s">
        <v>47</v>
      </c>
      <c r="J940" t="s">
        <v>37</v>
      </c>
      <c r="K940">
        <v>1</v>
      </c>
      <c r="L940">
        <v>47743.08</v>
      </c>
      <c r="M940">
        <v>47743.08</v>
      </c>
      <c r="N940">
        <f t="shared" si="43"/>
        <v>47743.08</v>
      </c>
      <c r="O940" t="str">
        <f t="shared" si="44"/>
        <v>Low</v>
      </c>
    </row>
    <row r="941" spans="1:15" x14ac:dyDescent="0.25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tr">
        <f t="shared" si="42"/>
        <v>Adult</v>
      </c>
      <c r="G941" t="s">
        <v>24</v>
      </c>
      <c r="H941" t="s">
        <v>102</v>
      </c>
      <c r="I941" t="s">
        <v>47</v>
      </c>
      <c r="J941" t="s">
        <v>37</v>
      </c>
      <c r="K941">
        <v>10</v>
      </c>
      <c r="L941">
        <v>12754.35</v>
      </c>
      <c r="M941">
        <v>127543.5</v>
      </c>
      <c r="N941">
        <f t="shared" si="43"/>
        <v>127543.5</v>
      </c>
      <c r="O941" t="str">
        <f t="shared" si="44"/>
        <v>Low</v>
      </c>
    </row>
    <row r="942" spans="1:15" x14ac:dyDescent="0.25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tr">
        <f t="shared" si="42"/>
        <v>Middle Age</v>
      </c>
      <c r="G942" t="s">
        <v>24</v>
      </c>
      <c r="H942" t="s">
        <v>46</v>
      </c>
      <c r="I942" t="s">
        <v>47</v>
      </c>
      <c r="J942" t="s">
        <v>37</v>
      </c>
      <c r="K942">
        <v>7</v>
      </c>
      <c r="L942">
        <v>45883.95</v>
      </c>
      <c r="M942">
        <v>321187.65000000002</v>
      </c>
      <c r="N942">
        <f t="shared" si="43"/>
        <v>321187.64999999997</v>
      </c>
      <c r="O942" t="str">
        <f t="shared" si="44"/>
        <v>Medium</v>
      </c>
    </row>
    <row r="943" spans="1:15" x14ac:dyDescent="0.25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tr">
        <f t="shared" si="42"/>
        <v>Senior</v>
      </c>
      <c r="G943" t="s">
        <v>24</v>
      </c>
      <c r="H943" t="s">
        <v>115</v>
      </c>
      <c r="I943" t="s">
        <v>47</v>
      </c>
      <c r="J943" t="s">
        <v>37</v>
      </c>
      <c r="K943">
        <v>5</v>
      </c>
      <c r="L943">
        <v>16990.849999999999</v>
      </c>
      <c r="M943">
        <v>84954.25</v>
      </c>
      <c r="N943">
        <f t="shared" si="43"/>
        <v>84954.25</v>
      </c>
      <c r="O943" t="str">
        <f t="shared" si="44"/>
        <v>Low</v>
      </c>
    </row>
    <row r="944" spans="1:15" x14ac:dyDescent="0.25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tr">
        <f t="shared" si="42"/>
        <v>Young Adult</v>
      </c>
      <c r="G944" t="s">
        <v>24</v>
      </c>
      <c r="H944" t="s">
        <v>60</v>
      </c>
      <c r="I944" t="s">
        <v>76</v>
      </c>
      <c r="J944" t="s">
        <v>77</v>
      </c>
      <c r="K944">
        <v>2</v>
      </c>
      <c r="L944">
        <v>20191.53</v>
      </c>
      <c r="M944">
        <v>40383.06</v>
      </c>
      <c r="N944">
        <f t="shared" si="43"/>
        <v>40383.06</v>
      </c>
      <c r="O944" t="str">
        <f t="shared" si="44"/>
        <v>Low</v>
      </c>
    </row>
    <row r="945" spans="1:15" x14ac:dyDescent="0.25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tr">
        <f t="shared" si="42"/>
        <v>Adult</v>
      </c>
      <c r="G945" t="s">
        <v>24</v>
      </c>
      <c r="H945" t="s">
        <v>69</v>
      </c>
      <c r="I945" t="s">
        <v>36</v>
      </c>
      <c r="J945" t="s">
        <v>37</v>
      </c>
      <c r="K945">
        <v>8</v>
      </c>
      <c r="L945">
        <v>46866.95</v>
      </c>
      <c r="M945">
        <v>374935.6</v>
      </c>
      <c r="N945">
        <f t="shared" si="43"/>
        <v>374935.6</v>
      </c>
      <c r="O945" t="str">
        <f t="shared" si="44"/>
        <v>High</v>
      </c>
    </row>
    <row r="946" spans="1:15" x14ac:dyDescent="0.25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tr">
        <f t="shared" si="42"/>
        <v>Senior</v>
      </c>
      <c r="G946" t="s">
        <v>16</v>
      </c>
      <c r="H946" t="s">
        <v>46</v>
      </c>
      <c r="I946" t="s">
        <v>36</v>
      </c>
      <c r="J946" t="s">
        <v>37</v>
      </c>
      <c r="K946">
        <v>8</v>
      </c>
      <c r="L946">
        <v>20319.29</v>
      </c>
      <c r="M946">
        <v>162554.32</v>
      </c>
      <c r="N946">
        <f t="shared" si="43"/>
        <v>162554.32</v>
      </c>
      <c r="O946" t="str">
        <f t="shared" si="44"/>
        <v>Low</v>
      </c>
    </row>
    <row r="947" spans="1:15" x14ac:dyDescent="0.25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tr">
        <f t="shared" si="42"/>
        <v>Senior</v>
      </c>
      <c r="G947" t="s">
        <v>24</v>
      </c>
      <c r="H947" t="s">
        <v>46</v>
      </c>
      <c r="I947" t="s">
        <v>25</v>
      </c>
      <c r="J947" t="s">
        <v>26</v>
      </c>
      <c r="K947">
        <v>6</v>
      </c>
      <c r="L947">
        <v>31857.18</v>
      </c>
      <c r="M947">
        <v>191143.08</v>
      </c>
      <c r="N947">
        <f t="shared" si="43"/>
        <v>191143.08000000002</v>
      </c>
      <c r="O947" t="str">
        <f t="shared" si="44"/>
        <v>Medium</v>
      </c>
    </row>
    <row r="948" spans="1:15" x14ac:dyDescent="0.25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tr">
        <f t="shared" si="42"/>
        <v>Senior</v>
      </c>
      <c r="G948" t="s">
        <v>16</v>
      </c>
      <c r="H948" t="s">
        <v>17</v>
      </c>
      <c r="I948" t="s">
        <v>36</v>
      </c>
      <c r="J948" t="s">
        <v>37</v>
      </c>
      <c r="K948">
        <v>2</v>
      </c>
      <c r="L948">
        <v>4160.7700000000004</v>
      </c>
      <c r="M948">
        <v>8321.5400000000009</v>
      </c>
      <c r="N948">
        <f t="shared" si="43"/>
        <v>8321.5400000000009</v>
      </c>
      <c r="O948" t="str">
        <f t="shared" si="44"/>
        <v>Low</v>
      </c>
    </row>
    <row r="949" spans="1:15" x14ac:dyDescent="0.25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tr">
        <f t="shared" si="42"/>
        <v>Adult</v>
      </c>
      <c r="G949" t="s">
        <v>24</v>
      </c>
      <c r="H949" t="s">
        <v>35</v>
      </c>
      <c r="I949" t="s">
        <v>25</v>
      </c>
      <c r="J949" t="s">
        <v>26</v>
      </c>
      <c r="K949">
        <v>10</v>
      </c>
      <c r="L949">
        <v>47314.42</v>
      </c>
      <c r="M949">
        <v>473144.2</v>
      </c>
      <c r="N949">
        <f t="shared" si="43"/>
        <v>473144.19999999995</v>
      </c>
      <c r="O949" t="str">
        <f t="shared" si="44"/>
        <v>High</v>
      </c>
    </row>
    <row r="950" spans="1:15" x14ac:dyDescent="0.25">
      <c r="A950" t="s">
        <v>2633</v>
      </c>
      <c r="B950" t="s">
        <v>840</v>
      </c>
      <c r="C950" t="s">
        <v>2634</v>
      </c>
      <c r="D950" t="s">
        <v>1190</v>
      </c>
      <c r="E950">
        <v>41</v>
      </c>
      <c r="F950" t="str">
        <f t="shared" si="42"/>
        <v>Middle Age</v>
      </c>
      <c r="G950" t="s">
        <v>24</v>
      </c>
      <c r="H950" t="s">
        <v>115</v>
      </c>
      <c r="I950" t="s">
        <v>47</v>
      </c>
      <c r="J950" t="s">
        <v>37</v>
      </c>
      <c r="K950">
        <v>9</v>
      </c>
      <c r="L950">
        <v>34569.56</v>
      </c>
      <c r="M950">
        <v>311126.03999999998</v>
      </c>
      <c r="N950">
        <f t="shared" si="43"/>
        <v>311126.03999999998</v>
      </c>
      <c r="O950" t="str">
        <f t="shared" si="44"/>
        <v>Medium</v>
      </c>
    </row>
    <row r="951" spans="1:15" x14ac:dyDescent="0.25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tr">
        <f t="shared" si="42"/>
        <v>Young Adult</v>
      </c>
      <c r="G951" t="s">
        <v>24</v>
      </c>
      <c r="H951" t="s">
        <v>115</v>
      </c>
      <c r="I951" t="s">
        <v>36</v>
      </c>
      <c r="J951" t="s">
        <v>37</v>
      </c>
      <c r="K951">
        <v>8</v>
      </c>
      <c r="L951">
        <v>29747.29</v>
      </c>
      <c r="M951">
        <v>237978.32</v>
      </c>
      <c r="N951">
        <f t="shared" si="43"/>
        <v>237978.32</v>
      </c>
      <c r="O951" t="str">
        <f t="shared" si="44"/>
        <v>Medium</v>
      </c>
    </row>
    <row r="952" spans="1:15" x14ac:dyDescent="0.25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tr">
        <f t="shared" si="42"/>
        <v>Middle Age</v>
      </c>
      <c r="G952" t="s">
        <v>24</v>
      </c>
      <c r="H952" t="s">
        <v>69</v>
      </c>
      <c r="I952" t="s">
        <v>70</v>
      </c>
      <c r="J952" t="s">
        <v>71</v>
      </c>
      <c r="K952">
        <v>8</v>
      </c>
      <c r="L952">
        <v>24450.18</v>
      </c>
      <c r="M952">
        <v>195601.44</v>
      </c>
      <c r="N952">
        <f t="shared" si="43"/>
        <v>195601.44</v>
      </c>
      <c r="O952" t="str">
        <f t="shared" si="44"/>
        <v>Medium</v>
      </c>
    </row>
    <row r="953" spans="1:15" x14ac:dyDescent="0.25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tr">
        <f t="shared" si="42"/>
        <v>Middle Age</v>
      </c>
      <c r="G953" t="s">
        <v>16</v>
      </c>
      <c r="H953" t="s">
        <v>35</v>
      </c>
      <c r="I953" t="s">
        <v>36</v>
      </c>
      <c r="J953" t="s">
        <v>37</v>
      </c>
      <c r="K953">
        <v>4</v>
      </c>
      <c r="L953">
        <v>13994.12</v>
      </c>
      <c r="M953">
        <v>55976.480000000003</v>
      </c>
      <c r="N953">
        <f t="shared" si="43"/>
        <v>55976.480000000003</v>
      </c>
      <c r="O953" t="str">
        <f t="shared" si="44"/>
        <v>Low</v>
      </c>
    </row>
    <row r="954" spans="1:15" x14ac:dyDescent="0.25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tr">
        <f t="shared" si="42"/>
        <v>Adult</v>
      </c>
      <c r="G954" t="s">
        <v>24</v>
      </c>
      <c r="H954" t="s">
        <v>60</v>
      </c>
      <c r="I954" t="s">
        <v>70</v>
      </c>
      <c r="J954" t="s">
        <v>71</v>
      </c>
      <c r="K954">
        <v>9</v>
      </c>
      <c r="L954">
        <v>23583.66</v>
      </c>
      <c r="M954">
        <v>212252.94</v>
      </c>
      <c r="N954">
        <f t="shared" si="43"/>
        <v>212252.94</v>
      </c>
      <c r="O954" t="str">
        <f t="shared" si="44"/>
        <v>Medium</v>
      </c>
    </row>
    <row r="955" spans="1:15" x14ac:dyDescent="0.25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tr">
        <f t="shared" si="42"/>
        <v>Young Adult</v>
      </c>
      <c r="G955" t="s">
        <v>24</v>
      </c>
      <c r="H955" t="s">
        <v>46</v>
      </c>
      <c r="I955" t="s">
        <v>70</v>
      </c>
      <c r="J955" t="s">
        <v>71</v>
      </c>
      <c r="K955">
        <v>3</v>
      </c>
      <c r="L955">
        <v>25138.65</v>
      </c>
      <c r="M955">
        <v>75415.95</v>
      </c>
      <c r="N955">
        <f t="shared" si="43"/>
        <v>75415.950000000012</v>
      </c>
      <c r="O955" t="str">
        <f t="shared" si="44"/>
        <v>Low</v>
      </c>
    </row>
    <row r="956" spans="1:15" x14ac:dyDescent="0.25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tr">
        <f t="shared" si="42"/>
        <v>Middle Age</v>
      </c>
      <c r="G956" t="s">
        <v>24</v>
      </c>
      <c r="H956" t="s">
        <v>60</v>
      </c>
      <c r="I956" t="s">
        <v>36</v>
      </c>
      <c r="J956" t="s">
        <v>37</v>
      </c>
      <c r="K956">
        <v>3</v>
      </c>
      <c r="L956">
        <v>25618.42</v>
      </c>
      <c r="M956">
        <v>76855.259999999995</v>
      </c>
      <c r="N956">
        <f t="shared" si="43"/>
        <v>76855.259999999995</v>
      </c>
      <c r="O956" t="str">
        <f t="shared" si="44"/>
        <v>Low</v>
      </c>
    </row>
    <row r="957" spans="1:15" x14ac:dyDescent="0.25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tr">
        <f t="shared" si="42"/>
        <v>Senior</v>
      </c>
      <c r="G957" t="s">
        <v>24</v>
      </c>
      <c r="H957" t="s">
        <v>46</v>
      </c>
      <c r="I957" t="s">
        <v>70</v>
      </c>
      <c r="J957" t="s">
        <v>71</v>
      </c>
      <c r="K957">
        <v>3</v>
      </c>
      <c r="L957">
        <v>42044.69</v>
      </c>
      <c r="M957">
        <v>126134.07</v>
      </c>
      <c r="N957">
        <f t="shared" si="43"/>
        <v>126134.07</v>
      </c>
      <c r="O957" t="str">
        <f t="shared" si="44"/>
        <v>Low</v>
      </c>
    </row>
    <row r="958" spans="1:15" x14ac:dyDescent="0.25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tr">
        <f t="shared" si="42"/>
        <v>Senior</v>
      </c>
      <c r="G958" t="s">
        <v>16</v>
      </c>
      <c r="H958" t="s">
        <v>60</v>
      </c>
      <c r="I958" t="s">
        <v>18</v>
      </c>
      <c r="J958" t="s">
        <v>19</v>
      </c>
      <c r="K958">
        <v>9</v>
      </c>
      <c r="L958">
        <v>33475.97</v>
      </c>
      <c r="M958">
        <v>301283.73</v>
      </c>
      <c r="N958">
        <f t="shared" si="43"/>
        <v>301283.73</v>
      </c>
      <c r="O958" t="str">
        <f t="shared" si="44"/>
        <v>Medium</v>
      </c>
    </row>
    <row r="959" spans="1:15" x14ac:dyDescent="0.25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tr">
        <f t="shared" si="42"/>
        <v>Middle Age</v>
      </c>
      <c r="G959" t="s">
        <v>16</v>
      </c>
      <c r="H959" t="s">
        <v>35</v>
      </c>
      <c r="I959" t="s">
        <v>18</v>
      </c>
      <c r="J959" t="s">
        <v>19</v>
      </c>
      <c r="K959">
        <v>5</v>
      </c>
      <c r="L959">
        <v>29215.06</v>
      </c>
      <c r="M959">
        <v>146075.29999999999</v>
      </c>
      <c r="N959">
        <f t="shared" si="43"/>
        <v>146075.30000000002</v>
      </c>
      <c r="O959" t="str">
        <f t="shared" si="44"/>
        <v>Low</v>
      </c>
    </row>
    <row r="960" spans="1:15" x14ac:dyDescent="0.25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tr">
        <f t="shared" si="42"/>
        <v>Senior</v>
      </c>
      <c r="G960" t="s">
        <v>24</v>
      </c>
      <c r="H960" t="s">
        <v>17</v>
      </c>
      <c r="I960" t="s">
        <v>36</v>
      </c>
      <c r="J960" t="s">
        <v>37</v>
      </c>
      <c r="K960">
        <v>1</v>
      </c>
      <c r="L960">
        <v>34619.769999999997</v>
      </c>
      <c r="M960">
        <v>34619.769999999997</v>
      </c>
      <c r="N960">
        <f t="shared" si="43"/>
        <v>34619.769999999997</v>
      </c>
      <c r="O960" t="str">
        <f t="shared" si="44"/>
        <v>Low</v>
      </c>
    </row>
    <row r="961" spans="1:15" x14ac:dyDescent="0.25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tr">
        <f t="shared" si="42"/>
        <v>Senior</v>
      </c>
      <c r="G961" t="s">
        <v>16</v>
      </c>
      <c r="H961" t="s">
        <v>60</v>
      </c>
      <c r="I961" t="s">
        <v>25</v>
      </c>
      <c r="J961" t="s">
        <v>26</v>
      </c>
      <c r="K961">
        <v>9</v>
      </c>
      <c r="L961">
        <v>33480.07</v>
      </c>
      <c r="M961">
        <v>301320.63</v>
      </c>
      <c r="N961">
        <f t="shared" si="43"/>
        <v>301320.63</v>
      </c>
      <c r="O961" t="str">
        <f t="shared" si="44"/>
        <v>Medium</v>
      </c>
    </row>
    <row r="962" spans="1:15" x14ac:dyDescent="0.25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tr">
        <f t="shared" si="42"/>
        <v>Adult</v>
      </c>
      <c r="G962" t="s">
        <v>16</v>
      </c>
      <c r="H962" t="s">
        <v>102</v>
      </c>
      <c r="I962" t="s">
        <v>70</v>
      </c>
      <c r="J962" t="s">
        <v>71</v>
      </c>
      <c r="K962">
        <v>10</v>
      </c>
      <c r="L962">
        <v>8532.9</v>
      </c>
      <c r="M962">
        <v>85329</v>
      </c>
      <c r="N962">
        <f t="shared" si="43"/>
        <v>85329</v>
      </c>
      <c r="O962" t="str">
        <f t="shared" si="44"/>
        <v>Low</v>
      </c>
    </row>
    <row r="963" spans="1:15" x14ac:dyDescent="0.25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tr">
        <f t="shared" ref="F963:F1001" si="45">IF(E963&lt;=25,"Young Adult",IF(E963&lt;=40,"Adult",IF(E963&lt;=55,"Middle Age","Senior")))</f>
        <v>Middle Age</v>
      </c>
      <c r="G963" t="s">
        <v>16</v>
      </c>
      <c r="H963" t="s">
        <v>102</v>
      </c>
      <c r="I963" t="s">
        <v>47</v>
      </c>
      <c r="J963" t="s">
        <v>37</v>
      </c>
      <c r="K963">
        <v>7</v>
      </c>
      <c r="L963">
        <v>31899.759999999998</v>
      </c>
      <c r="M963">
        <v>223298.32</v>
      </c>
      <c r="N963">
        <f t="shared" ref="N963:N986" si="46">K963*L963</f>
        <v>223298.31999999998</v>
      </c>
      <c r="O963" t="str">
        <f t="shared" ref="O963:O1001" si="47">IF(M963&lt;165000,"Low",IF(M963&lt;=330000,"Medium","High"))</f>
        <v>Medium</v>
      </c>
    </row>
    <row r="964" spans="1:15" x14ac:dyDescent="0.25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tr">
        <f t="shared" si="45"/>
        <v>Middle Age</v>
      </c>
      <c r="G964" t="s">
        <v>16</v>
      </c>
      <c r="H964" t="s">
        <v>17</v>
      </c>
      <c r="I964" t="s">
        <v>76</v>
      </c>
      <c r="J964" t="s">
        <v>77</v>
      </c>
      <c r="K964">
        <v>5</v>
      </c>
      <c r="L964">
        <v>30847.69</v>
      </c>
      <c r="M964">
        <v>154238.45000000001</v>
      </c>
      <c r="N964">
        <f t="shared" si="46"/>
        <v>154238.44999999998</v>
      </c>
      <c r="O964" t="str">
        <f t="shared" si="47"/>
        <v>Low</v>
      </c>
    </row>
    <row r="965" spans="1:15" x14ac:dyDescent="0.25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tr">
        <f t="shared" si="45"/>
        <v>Young Adult</v>
      </c>
      <c r="G965" t="s">
        <v>24</v>
      </c>
      <c r="H965" t="s">
        <v>115</v>
      </c>
      <c r="I965" t="s">
        <v>36</v>
      </c>
      <c r="J965" t="s">
        <v>37</v>
      </c>
      <c r="K965">
        <v>2</v>
      </c>
      <c r="L965">
        <v>39578.6</v>
      </c>
      <c r="M965">
        <v>79157.2</v>
      </c>
      <c r="N965">
        <f t="shared" si="46"/>
        <v>79157.2</v>
      </c>
      <c r="O965" t="str">
        <f t="shared" si="47"/>
        <v>Low</v>
      </c>
    </row>
    <row r="966" spans="1:15" x14ac:dyDescent="0.25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tr">
        <f t="shared" si="45"/>
        <v>Middle Age</v>
      </c>
      <c r="G966" t="s">
        <v>16</v>
      </c>
      <c r="H966" t="s">
        <v>69</v>
      </c>
      <c r="I966" t="s">
        <v>36</v>
      </c>
      <c r="J966" t="s">
        <v>37</v>
      </c>
      <c r="K966">
        <v>8</v>
      </c>
      <c r="L966">
        <v>35028.53</v>
      </c>
      <c r="M966">
        <v>280228.24</v>
      </c>
      <c r="N966">
        <f t="shared" si="46"/>
        <v>280228.24</v>
      </c>
      <c r="O966" t="str">
        <f t="shared" si="47"/>
        <v>Medium</v>
      </c>
    </row>
    <row r="967" spans="1:15" x14ac:dyDescent="0.25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tr">
        <f t="shared" si="45"/>
        <v>Middle Age</v>
      </c>
      <c r="G967" t="s">
        <v>16</v>
      </c>
      <c r="H967" t="s">
        <v>17</v>
      </c>
      <c r="I967" t="s">
        <v>36</v>
      </c>
      <c r="J967" t="s">
        <v>37</v>
      </c>
      <c r="K967">
        <v>6</v>
      </c>
      <c r="L967">
        <v>6287.85</v>
      </c>
      <c r="M967">
        <v>37727.1</v>
      </c>
      <c r="N967">
        <f t="shared" si="46"/>
        <v>37727.100000000006</v>
      </c>
      <c r="O967" t="str">
        <f t="shared" si="47"/>
        <v>Low</v>
      </c>
    </row>
    <row r="968" spans="1:15" x14ac:dyDescent="0.25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tr">
        <f t="shared" si="45"/>
        <v>Senior</v>
      </c>
      <c r="G968" t="s">
        <v>16</v>
      </c>
      <c r="H968" t="s">
        <v>69</v>
      </c>
      <c r="I968" t="s">
        <v>76</v>
      </c>
      <c r="J968" t="s">
        <v>77</v>
      </c>
      <c r="K968">
        <v>3</v>
      </c>
      <c r="L968">
        <v>32751.77</v>
      </c>
      <c r="M968">
        <v>98255.31</v>
      </c>
      <c r="N968">
        <f t="shared" si="46"/>
        <v>98255.31</v>
      </c>
      <c r="O968" t="str">
        <f t="shared" si="47"/>
        <v>Low</v>
      </c>
    </row>
    <row r="969" spans="1:15" x14ac:dyDescent="0.25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tr">
        <f t="shared" si="45"/>
        <v>Senior</v>
      </c>
      <c r="G969" t="s">
        <v>24</v>
      </c>
      <c r="H969" t="s">
        <v>60</v>
      </c>
      <c r="I969" t="s">
        <v>47</v>
      </c>
      <c r="J969" t="s">
        <v>37</v>
      </c>
      <c r="K969">
        <v>9</v>
      </c>
      <c r="L969">
        <v>24421.73</v>
      </c>
      <c r="M969">
        <v>219795.57</v>
      </c>
      <c r="N969">
        <f t="shared" si="46"/>
        <v>219795.57</v>
      </c>
      <c r="O969" t="str">
        <f t="shared" si="47"/>
        <v>Medium</v>
      </c>
    </row>
    <row r="970" spans="1:15" x14ac:dyDescent="0.25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tr">
        <f t="shared" si="45"/>
        <v>Adult</v>
      </c>
      <c r="G970" t="s">
        <v>16</v>
      </c>
      <c r="H970" t="s">
        <v>17</v>
      </c>
      <c r="I970" t="s">
        <v>70</v>
      </c>
      <c r="J970" t="s">
        <v>71</v>
      </c>
      <c r="K970">
        <v>1</v>
      </c>
      <c r="L970">
        <v>31739.18</v>
      </c>
      <c r="M970">
        <v>31739.18</v>
      </c>
      <c r="N970">
        <f t="shared" si="46"/>
        <v>31739.18</v>
      </c>
      <c r="O970" t="str">
        <f t="shared" si="47"/>
        <v>Low</v>
      </c>
    </row>
    <row r="971" spans="1:15" x14ac:dyDescent="0.25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tr">
        <f t="shared" si="45"/>
        <v>Adult</v>
      </c>
      <c r="G971" t="s">
        <v>16</v>
      </c>
      <c r="H971" t="s">
        <v>102</v>
      </c>
      <c r="I971" t="s">
        <v>18</v>
      </c>
      <c r="J971" t="s">
        <v>19</v>
      </c>
      <c r="K971">
        <v>1</v>
      </c>
      <c r="L971">
        <v>6976.56</v>
      </c>
      <c r="M971">
        <v>6976.56</v>
      </c>
      <c r="N971">
        <f t="shared" si="46"/>
        <v>6976.56</v>
      </c>
      <c r="O971" t="str">
        <f t="shared" si="47"/>
        <v>Low</v>
      </c>
    </row>
    <row r="972" spans="1:15" x14ac:dyDescent="0.25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tr">
        <f t="shared" si="45"/>
        <v>Adult</v>
      </c>
      <c r="G972" t="s">
        <v>24</v>
      </c>
      <c r="H972" t="s">
        <v>69</v>
      </c>
      <c r="I972" t="s">
        <v>25</v>
      </c>
      <c r="J972" t="s">
        <v>26</v>
      </c>
      <c r="K972">
        <v>4</v>
      </c>
      <c r="L972">
        <v>9989.0400000000009</v>
      </c>
      <c r="M972">
        <v>39956.160000000003</v>
      </c>
      <c r="N972">
        <f t="shared" si="46"/>
        <v>39956.160000000003</v>
      </c>
      <c r="O972" t="str">
        <f t="shared" si="47"/>
        <v>Low</v>
      </c>
    </row>
    <row r="973" spans="1:15" x14ac:dyDescent="0.25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tr">
        <f t="shared" si="45"/>
        <v>Middle Age</v>
      </c>
      <c r="G973" t="s">
        <v>24</v>
      </c>
      <c r="H973" t="s">
        <v>46</v>
      </c>
      <c r="I973" t="s">
        <v>47</v>
      </c>
      <c r="J973" t="s">
        <v>37</v>
      </c>
      <c r="K973">
        <v>10</v>
      </c>
      <c r="L973">
        <v>43146.39</v>
      </c>
      <c r="M973">
        <v>431463.9</v>
      </c>
      <c r="N973">
        <f t="shared" si="46"/>
        <v>431463.9</v>
      </c>
      <c r="O973" t="str">
        <f t="shared" si="47"/>
        <v>High</v>
      </c>
    </row>
    <row r="974" spans="1:15" x14ac:dyDescent="0.25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tr">
        <f t="shared" si="45"/>
        <v>Adult</v>
      </c>
      <c r="G974" t="s">
        <v>24</v>
      </c>
      <c r="H974" t="s">
        <v>35</v>
      </c>
      <c r="I974" t="s">
        <v>47</v>
      </c>
      <c r="J974" t="s">
        <v>37</v>
      </c>
      <c r="K974">
        <v>10</v>
      </c>
      <c r="L974">
        <v>48566.78</v>
      </c>
      <c r="M974">
        <v>485667.8</v>
      </c>
      <c r="N974">
        <f t="shared" si="46"/>
        <v>485667.8</v>
      </c>
      <c r="O974" t="str">
        <f t="shared" si="47"/>
        <v>High</v>
      </c>
    </row>
    <row r="975" spans="1:15" x14ac:dyDescent="0.25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tr">
        <f t="shared" si="45"/>
        <v>Young Adult</v>
      </c>
      <c r="G975" t="s">
        <v>16</v>
      </c>
      <c r="I975" t="s">
        <v>25</v>
      </c>
      <c r="J975" t="s">
        <v>26</v>
      </c>
      <c r="K975">
        <v>6</v>
      </c>
      <c r="L975">
        <v>6189.16</v>
      </c>
      <c r="M975">
        <v>37134.959999999999</v>
      </c>
      <c r="N975">
        <f t="shared" si="46"/>
        <v>37134.959999999999</v>
      </c>
      <c r="O975" t="str">
        <f t="shared" si="47"/>
        <v>Low</v>
      </c>
    </row>
    <row r="976" spans="1:15" x14ac:dyDescent="0.25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tr">
        <f t="shared" si="45"/>
        <v>Young Adult</v>
      </c>
      <c r="G976" t="s">
        <v>16</v>
      </c>
      <c r="H976" t="s">
        <v>51</v>
      </c>
      <c r="I976" t="s">
        <v>70</v>
      </c>
      <c r="J976" t="s">
        <v>71</v>
      </c>
      <c r="K976">
        <v>3</v>
      </c>
      <c r="L976">
        <v>46910.35</v>
      </c>
      <c r="M976">
        <v>140731.04999999999</v>
      </c>
      <c r="N976">
        <f t="shared" si="46"/>
        <v>140731.04999999999</v>
      </c>
      <c r="O976" t="str">
        <f t="shared" si="47"/>
        <v>Low</v>
      </c>
    </row>
    <row r="977" spans="1:15" x14ac:dyDescent="0.25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tr">
        <f t="shared" si="45"/>
        <v>Young Adult</v>
      </c>
      <c r="G977" t="s">
        <v>24</v>
      </c>
      <c r="H977" t="s">
        <v>69</v>
      </c>
      <c r="I977" t="s">
        <v>70</v>
      </c>
      <c r="J977" t="s">
        <v>71</v>
      </c>
      <c r="K977">
        <v>1</v>
      </c>
      <c r="L977">
        <v>25737.43</v>
      </c>
      <c r="M977">
        <v>25737.43</v>
      </c>
      <c r="N977">
        <f t="shared" si="46"/>
        <v>25737.43</v>
      </c>
      <c r="O977" t="str">
        <f t="shared" si="47"/>
        <v>Low</v>
      </c>
    </row>
    <row r="978" spans="1:15" x14ac:dyDescent="0.25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tr">
        <f t="shared" si="45"/>
        <v>Middle Age</v>
      </c>
      <c r="G978" t="s">
        <v>24</v>
      </c>
      <c r="H978" t="s">
        <v>46</v>
      </c>
      <c r="I978" t="s">
        <v>70</v>
      </c>
      <c r="J978" t="s">
        <v>71</v>
      </c>
      <c r="K978">
        <v>3</v>
      </c>
      <c r="L978">
        <v>38656.449999999997</v>
      </c>
      <c r="M978">
        <v>115969.35</v>
      </c>
      <c r="N978">
        <f t="shared" si="46"/>
        <v>115969.34999999999</v>
      </c>
      <c r="O978" t="str">
        <f t="shared" si="47"/>
        <v>Low</v>
      </c>
    </row>
    <row r="979" spans="1:15" x14ac:dyDescent="0.25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tr">
        <f t="shared" si="45"/>
        <v>Middle Age</v>
      </c>
      <c r="G979" t="s">
        <v>24</v>
      </c>
      <c r="H979" t="s">
        <v>46</v>
      </c>
      <c r="I979" t="s">
        <v>18</v>
      </c>
      <c r="J979" t="s">
        <v>19</v>
      </c>
      <c r="K979">
        <v>6</v>
      </c>
      <c r="L979">
        <v>44566.74</v>
      </c>
      <c r="M979">
        <v>267400.44</v>
      </c>
      <c r="N979">
        <f t="shared" si="46"/>
        <v>267400.44</v>
      </c>
      <c r="O979" t="str">
        <f t="shared" si="47"/>
        <v>Medium</v>
      </c>
    </row>
    <row r="980" spans="1:15" x14ac:dyDescent="0.25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tr">
        <f t="shared" si="45"/>
        <v>Adult</v>
      </c>
      <c r="G980" t="s">
        <v>24</v>
      </c>
      <c r="H980" t="s">
        <v>115</v>
      </c>
      <c r="I980" t="s">
        <v>47</v>
      </c>
      <c r="J980" t="s">
        <v>37</v>
      </c>
      <c r="K980">
        <v>5</v>
      </c>
      <c r="L980">
        <v>16513.54</v>
      </c>
      <c r="M980">
        <v>82567.7</v>
      </c>
      <c r="N980">
        <f t="shared" si="46"/>
        <v>82567.700000000012</v>
      </c>
      <c r="O980" t="str">
        <f t="shared" si="47"/>
        <v>Low</v>
      </c>
    </row>
    <row r="981" spans="1:15" x14ac:dyDescent="0.25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tr">
        <f t="shared" si="45"/>
        <v>Young Adult</v>
      </c>
      <c r="G981" t="s">
        <v>24</v>
      </c>
      <c r="H981" t="s">
        <v>46</v>
      </c>
      <c r="I981" t="s">
        <v>25</v>
      </c>
      <c r="J981" t="s">
        <v>26</v>
      </c>
      <c r="K981">
        <v>6</v>
      </c>
      <c r="L981">
        <v>5066.4399999999996</v>
      </c>
      <c r="M981">
        <v>30398.639999999999</v>
      </c>
      <c r="N981">
        <f t="shared" si="46"/>
        <v>30398.639999999999</v>
      </c>
      <c r="O981" t="str">
        <f t="shared" si="47"/>
        <v>Low</v>
      </c>
    </row>
    <row r="982" spans="1:15" x14ac:dyDescent="0.25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tr">
        <f t="shared" si="45"/>
        <v>Middle Age</v>
      </c>
      <c r="G982" t="s">
        <v>16</v>
      </c>
      <c r="H982" t="s">
        <v>17</v>
      </c>
      <c r="I982" t="s">
        <v>18</v>
      </c>
      <c r="J982" t="s">
        <v>19</v>
      </c>
      <c r="K982">
        <v>10</v>
      </c>
      <c r="L982">
        <v>46852.2</v>
      </c>
      <c r="M982">
        <v>468522</v>
      </c>
      <c r="N982">
        <f t="shared" si="46"/>
        <v>468522</v>
      </c>
      <c r="O982" t="str">
        <f t="shared" si="47"/>
        <v>High</v>
      </c>
    </row>
    <row r="983" spans="1:15" x14ac:dyDescent="0.25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tr">
        <f t="shared" si="45"/>
        <v>Middle Age</v>
      </c>
      <c r="G983" t="s">
        <v>24</v>
      </c>
      <c r="H983" t="s">
        <v>60</v>
      </c>
      <c r="I983" t="s">
        <v>70</v>
      </c>
      <c r="J983" t="s">
        <v>71</v>
      </c>
      <c r="K983">
        <v>3</v>
      </c>
      <c r="L983">
        <v>18013.259999999998</v>
      </c>
      <c r="M983">
        <v>54039.78</v>
      </c>
      <c r="N983">
        <f t="shared" si="46"/>
        <v>54039.78</v>
      </c>
      <c r="O983" t="str">
        <f t="shared" si="47"/>
        <v>Low</v>
      </c>
    </row>
    <row r="984" spans="1:15" x14ac:dyDescent="0.25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tr">
        <f t="shared" si="45"/>
        <v>Middle Age</v>
      </c>
      <c r="G984" t="s">
        <v>16</v>
      </c>
      <c r="H984" t="s">
        <v>51</v>
      </c>
      <c r="I984" t="s">
        <v>70</v>
      </c>
      <c r="J984" t="s">
        <v>71</v>
      </c>
      <c r="K984">
        <v>4</v>
      </c>
      <c r="L984">
        <v>36188.720000000001</v>
      </c>
      <c r="M984">
        <v>144754.88</v>
      </c>
      <c r="N984">
        <f t="shared" si="46"/>
        <v>144754.88</v>
      </c>
      <c r="O984" t="str">
        <f t="shared" si="47"/>
        <v>Low</v>
      </c>
    </row>
    <row r="985" spans="1:15" x14ac:dyDescent="0.25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tr">
        <f t="shared" si="45"/>
        <v>Senior</v>
      </c>
      <c r="G985" t="s">
        <v>16</v>
      </c>
      <c r="H985" t="s">
        <v>102</v>
      </c>
      <c r="I985" t="s">
        <v>76</v>
      </c>
      <c r="J985" t="s">
        <v>77</v>
      </c>
      <c r="K985">
        <v>3</v>
      </c>
      <c r="L985">
        <v>33517.79</v>
      </c>
      <c r="M985">
        <v>100553.37</v>
      </c>
      <c r="N985">
        <f t="shared" si="46"/>
        <v>100553.37</v>
      </c>
      <c r="O985" t="str">
        <f t="shared" si="47"/>
        <v>Low</v>
      </c>
    </row>
    <row r="986" spans="1:15" x14ac:dyDescent="0.25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tr">
        <f t="shared" si="45"/>
        <v>Young Adult</v>
      </c>
      <c r="G986" t="s">
        <v>24</v>
      </c>
      <c r="H986" t="s">
        <v>46</v>
      </c>
      <c r="I986" t="s">
        <v>18</v>
      </c>
      <c r="J986" t="s">
        <v>19</v>
      </c>
      <c r="K986">
        <v>1</v>
      </c>
      <c r="L986">
        <v>3375.35</v>
      </c>
      <c r="M986">
        <v>3375.35</v>
      </c>
      <c r="N986">
        <f t="shared" si="46"/>
        <v>3375.35</v>
      </c>
      <c r="O986" t="str">
        <f t="shared" si="47"/>
        <v>Low</v>
      </c>
    </row>
    <row r="987" spans="1:15" x14ac:dyDescent="0.25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tr">
        <f t="shared" si="45"/>
        <v>Adult</v>
      </c>
      <c r="G987" t="s">
        <v>16</v>
      </c>
      <c r="H987" t="s">
        <v>60</v>
      </c>
      <c r="I987" t="s">
        <v>36</v>
      </c>
      <c r="J987" t="s">
        <v>37</v>
      </c>
      <c r="K987">
        <v>4</v>
      </c>
      <c r="L987">
        <v>34140.07</v>
      </c>
      <c r="M987">
        <v>136560.28</v>
      </c>
      <c r="N987">
        <f>K987*L987</f>
        <v>136560.28</v>
      </c>
      <c r="O987" t="str">
        <f t="shared" si="47"/>
        <v>Low</v>
      </c>
    </row>
    <row r="988" spans="1:15" x14ac:dyDescent="0.25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tr">
        <f t="shared" si="45"/>
        <v>Adult</v>
      </c>
      <c r="G988" t="s">
        <v>16</v>
      </c>
      <c r="H988" t="s">
        <v>115</v>
      </c>
      <c r="I988" t="s">
        <v>36</v>
      </c>
      <c r="J988" t="s">
        <v>37</v>
      </c>
      <c r="K988">
        <v>2</v>
      </c>
      <c r="L988">
        <v>17345.150000000001</v>
      </c>
      <c r="M988">
        <v>34690.300000000003</v>
      </c>
      <c r="N988">
        <f t="shared" ref="N988:N1001" si="48">K988*L988</f>
        <v>34690.300000000003</v>
      </c>
      <c r="O988" t="str">
        <f t="shared" si="47"/>
        <v>Low</v>
      </c>
    </row>
    <row r="989" spans="1:15" x14ac:dyDescent="0.25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tr">
        <f t="shared" si="45"/>
        <v>Senior</v>
      </c>
      <c r="G989" t="s">
        <v>24</v>
      </c>
      <c r="H989" t="s">
        <v>102</v>
      </c>
      <c r="I989" t="s">
        <v>76</v>
      </c>
      <c r="J989" t="s">
        <v>77</v>
      </c>
      <c r="K989">
        <v>2</v>
      </c>
      <c r="L989">
        <v>46527.93</v>
      </c>
      <c r="M989">
        <v>93055.86</v>
      </c>
      <c r="N989">
        <f t="shared" si="48"/>
        <v>93055.86</v>
      </c>
      <c r="O989" t="str">
        <f t="shared" si="47"/>
        <v>Low</v>
      </c>
    </row>
    <row r="990" spans="1:15" x14ac:dyDescent="0.25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tr">
        <f t="shared" si="45"/>
        <v>Adult</v>
      </c>
      <c r="G990" t="s">
        <v>24</v>
      </c>
      <c r="H990" t="s">
        <v>51</v>
      </c>
      <c r="I990" t="s">
        <v>18</v>
      </c>
      <c r="J990" t="s">
        <v>19</v>
      </c>
      <c r="K990">
        <v>1</v>
      </c>
      <c r="L990">
        <v>21819.5</v>
      </c>
      <c r="M990">
        <v>21819.5</v>
      </c>
      <c r="N990">
        <f t="shared" si="48"/>
        <v>21819.5</v>
      </c>
      <c r="O990" t="str">
        <f t="shared" si="47"/>
        <v>Low</v>
      </c>
    </row>
    <row r="991" spans="1:15" x14ac:dyDescent="0.25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tr">
        <f t="shared" si="45"/>
        <v>Adult</v>
      </c>
      <c r="G991" t="s">
        <v>24</v>
      </c>
      <c r="H991" t="s">
        <v>17</v>
      </c>
      <c r="I991" t="s">
        <v>36</v>
      </c>
      <c r="J991" t="s">
        <v>37</v>
      </c>
      <c r="K991">
        <v>4</v>
      </c>
      <c r="L991">
        <v>26365.27</v>
      </c>
      <c r="M991">
        <v>105461.08</v>
      </c>
      <c r="N991">
        <f t="shared" si="48"/>
        <v>105461.08</v>
      </c>
      <c r="O991" t="str">
        <f t="shared" si="47"/>
        <v>Low</v>
      </c>
    </row>
    <row r="992" spans="1:15" x14ac:dyDescent="0.25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tr">
        <f t="shared" si="45"/>
        <v>Adult</v>
      </c>
      <c r="G992" t="s">
        <v>24</v>
      </c>
      <c r="H992" t="s">
        <v>35</v>
      </c>
      <c r="I992" t="s">
        <v>76</v>
      </c>
      <c r="J992" t="s">
        <v>77</v>
      </c>
      <c r="K992">
        <v>9</v>
      </c>
      <c r="L992">
        <v>34835.550000000003</v>
      </c>
      <c r="M992">
        <v>313519.95</v>
      </c>
      <c r="N992">
        <f t="shared" si="48"/>
        <v>313519.95</v>
      </c>
      <c r="O992" t="str">
        <f t="shared" si="47"/>
        <v>Medium</v>
      </c>
    </row>
    <row r="993" spans="1:15" x14ac:dyDescent="0.25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tr">
        <f t="shared" si="45"/>
        <v>Middle Age</v>
      </c>
      <c r="G993" t="s">
        <v>24</v>
      </c>
      <c r="H993" t="s">
        <v>51</v>
      </c>
      <c r="I993" t="s">
        <v>25</v>
      </c>
      <c r="J993" t="s">
        <v>26</v>
      </c>
      <c r="K993">
        <v>8</v>
      </c>
      <c r="L993">
        <v>44625.98</v>
      </c>
      <c r="M993">
        <v>357007.84</v>
      </c>
      <c r="N993">
        <f t="shared" si="48"/>
        <v>357007.84</v>
      </c>
      <c r="O993" t="str">
        <f t="shared" si="47"/>
        <v>High</v>
      </c>
    </row>
    <row r="994" spans="1:15" x14ac:dyDescent="0.25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tr">
        <f t="shared" si="45"/>
        <v>Middle Age</v>
      </c>
      <c r="G994" t="s">
        <v>16</v>
      </c>
      <c r="H994" t="s">
        <v>60</v>
      </c>
      <c r="I994" t="s">
        <v>76</v>
      </c>
      <c r="J994" t="s">
        <v>77</v>
      </c>
      <c r="K994">
        <v>5</v>
      </c>
      <c r="L994">
        <v>7279.34</v>
      </c>
      <c r="M994">
        <v>36396.699999999997</v>
      </c>
      <c r="N994">
        <f t="shared" si="48"/>
        <v>36396.699999999997</v>
      </c>
      <c r="O994" t="str">
        <f t="shared" si="47"/>
        <v>Low</v>
      </c>
    </row>
    <row r="995" spans="1:15" x14ac:dyDescent="0.25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tr">
        <f t="shared" si="45"/>
        <v>Senior</v>
      </c>
      <c r="G995" t="s">
        <v>24</v>
      </c>
      <c r="H995" t="s">
        <v>60</v>
      </c>
      <c r="I995" t="s">
        <v>76</v>
      </c>
      <c r="J995" t="s">
        <v>77</v>
      </c>
      <c r="K995">
        <v>1</v>
      </c>
      <c r="L995">
        <v>37930.19</v>
      </c>
      <c r="M995">
        <v>37930.19</v>
      </c>
      <c r="N995">
        <f t="shared" si="48"/>
        <v>37930.19</v>
      </c>
      <c r="O995" t="str">
        <f t="shared" si="47"/>
        <v>Low</v>
      </c>
    </row>
    <row r="996" spans="1:15" x14ac:dyDescent="0.25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tr">
        <f t="shared" si="45"/>
        <v>Adult</v>
      </c>
      <c r="G996" t="s">
        <v>24</v>
      </c>
      <c r="H996" t="s">
        <v>115</v>
      </c>
      <c r="I996" t="s">
        <v>25</v>
      </c>
      <c r="J996" t="s">
        <v>26</v>
      </c>
      <c r="K996">
        <v>9</v>
      </c>
      <c r="L996">
        <v>44322.64</v>
      </c>
      <c r="M996">
        <v>398903.76</v>
      </c>
      <c r="N996">
        <f t="shared" si="48"/>
        <v>398903.76</v>
      </c>
      <c r="O996" t="str">
        <f t="shared" si="47"/>
        <v>High</v>
      </c>
    </row>
    <row r="997" spans="1:15" x14ac:dyDescent="0.25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tr">
        <f t="shared" si="45"/>
        <v>Senior</v>
      </c>
      <c r="G997" t="s">
        <v>24</v>
      </c>
      <c r="H997" t="s">
        <v>102</v>
      </c>
      <c r="I997" t="s">
        <v>47</v>
      </c>
      <c r="J997" t="s">
        <v>37</v>
      </c>
      <c r="K997">
        <v>9</v>
      </c>
      <c r="L997">
        <v>35405.54</v>
      </c>
      <c r="M997">
        <v>318649.86</v>
      </c>
      <c r="N997">
        <f t="shared" si="48"/>
        <v>318649.86</v>
      </c>
      <c r="O997" t="str">
        <f t="shared" si="47"/>
        <v>Medium</v>
      </c>
    </row>
    <row r="998" spans="1:15" x14ac:dyDescent="0.25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tr">
        <f t="shared" si="45"/>
        <v>Young Adult</v>
      </c>
      <c r="G998" t="s">
        <v>24</v>
      </c>
      <c r="H998" t="s">
        <v>102</v>
      </c>
      <c r="I998" t="s">
        <v>70</v>
      </c>
      <c r="J998" t="s">
        <v>71</v>
      </c>
      <c r="K998">
        <v>5</v>
      </c>
      <c r="L998">
        <v>18454.650000000001</v>
      </c>
      <c r="M998">
        <v>92273.25</v>
      </c>
      <c r="N998">
        <f t="shared" si="48"/>
        <v>92273.25</v>
      </c>
      <c r="O998" t="str">
        <f t="shared" si="47"/>
        <v>Low</v>
      </c>
    </row>
    <row r="999" spans="1:15" x14ac:dyDescent="0.25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tr">
        <f t="shared" si="45"/>
        <v>Senior</v>
      </c>
      <c r="G999" t="s">
        <v>16</v>
      </c>
      <c r="H999" t="s">
        <v>46</v>
      </c>
      <c r="I999" t="s">
        <v>47</v>
      </c>
      <c r="J999" t="s">
        <v>37</v>
      </c>
      <c r="K999">
        <v>9</v>
      </c>
      <c r="L999">
        <v>12971.59</v>
      </c>
      <c r="M999">
        <v>116744.31</v>
      </c>
      <c r="N999">
        <f t="shared" si="48"/>
        <v>116744.31</v>
      </c>
      <c r="O999" t="str">
        <f t="shared" si="47"/>
        <v>Low</v>
      </c>
    </row>
    <row r="1000" spans="1:15" x14ac:dyDescent="0.25">
      <c r="A1000" t="s">
        <v>2735</v>
      </c>
      <c r="B1000" t="s">
        <v>1846</v>
      </c>
      <c r="C1000" t="s">
        <v>2736</v>
      </c>
      <c r="D1000" t="s">
        <v>469</v>
      </c>
      <c r="E1000">
        <v>41</v>
      </c>
      <c r="F1000" t="str">
        <f t="shared" si="45"/>
        <v>Middle Age</v>
      </c>
      <c r="G1000" t="s">
        <v>24</v>
      </c>
      <c r="H1000" t="s">
        <v>69</v>
      </c>
      <c r="I1000" t="s">
        <v>36</v>
      </c>
      <c r="J1000" t="s">
        <v>37</v>
      </c>
      <c r="K1000">
        <v>9</v>
      </c>
      <c r="L1000">
        <v>2879.01</v>
      </c>
      <c r="M1000">
        <v>25911.09</v>
      </c>
      <c r="N1000">
        <f t="shared" si="48"/>
        <v>25911.090000000004</v>
      </c>
      <c r="O1000" t="str">
        <f t="shared" si="47"/>
        <v>Low</v>
      </c>
    </row>
    <row r="1001" spans="1:15" x14ac:dyDescent="0.25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tr">
        <f t="shared" si="45"/>
        <v>Senior</v>
      </c>
      <c r="G1001" t="s">
        <v>16</v>
      </c>
      <c r="H1001" t="s">
        <v>102</v>
      </c>
      <c r="I1001" t="s">
        <v>76</v>
      </c>
      <c r="J1001" t="s">
        <v>77</v>
      </c>
      <c r="K1001">
        <v>9</v>
      </c>
      <c r="L1001">
        <v>22493.87</v>
      </c>
      <c r="M1001">
        <v>202444.83</v>
      </c>
      <c r="N1001">
        <f t="shared" si="48"/>
        <v>202444.83</v>
      </c>
      <c r="O1001" t="str">
        <f t="shared" si="47"/>
        <v>Medium</v>
      </c>
    </row>
  </sheetData>
  <autoFilter ref="A1:M1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Geethika kurumoji</cp:lastModifiedBy>
  <dcterms:created xsi:type="dcterms:W3CDTF">2026-06-06T07:04:51Z</dcterms:created>
  <dcterms:modified xsi:type="dcterms:W3CDTF">2026-06-13T08:41:13Z</dcterms:modified>
</cp:coreProperties>
</file>